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TART HERE" sheetId="1" state="visible" r:id="rId1"/>
    <sheet name="ModelAnswers" sheetId="2" state="visible" r:id="rId2"/>
    <sheet name="Evaluation" sheetId="3" state="visible" r:id="rId3"/>
    <sheet name="AccuracyReport" sheetId="4" state="visible" r:id="rId4"/>
    <sheet name="RAG_Comparison" sheetId="5" state="visible" r:id="rId5"/>
    <sheet name="Error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000"/>
    <numFmt numFmtId="165" formatCode="yyyy\-mm\-dd"/>
    <numFmt numFmtId="166" formatCode="0.0%"/>
    <numFmt numFmtId="167" formatCode="\$0.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5"/>
    </font>
    <font>
      <name val="Arial"/>
      <charset val="1"/>
      <family val="0"/>
      <i val="1"/>
      <color rgb="FF6B7B7A"/>
      <sz val="10"/>
    </font>
    <font>
      <name val="Arial"/>
      <charset val="1"/>
      <family val="0"/>
      <b val="1"/>
      <sz val="10"/>
    </font>
    <font>
      <name val="Arial"/>
      <charset val="1"/>
      <family val="0"/>
      <sz val="10"/>
    </font>
    <font>
      <name val="Arial"/>
      <charset val="1"/>
      <family val="0"/>
      <b val="1"/>
      <color rgb="FFFFFFFF"/>
      <sz val="10"/>
    </font>
    <font>
      <name val="Consolas"/>
      <charset val="1"/>
      <family val="0"/>
      <sz val="9"/>
    </font>
    <font>
      <name val="Arial"/>
      <charset val="1"/>
      <family val="0"/>
      <b val="1"/>
      <sz val="11"/>
    </font>
    <font>
      <name val="Arial"/>
      <charset val="1"/>
      <family val="0"/>
      <b val="1"/>
      <color rgb="FF1F3864"/>
      <sz val="14"/>
    </font>
    <font>
      <name val="Arial"/>
      <charset val="1"/>
      <family val="0"/>
      <i val="1"/>
      <color rgb="FF6B7B7A"/>
      <sz val="9"/>
    </font>
  </fonts>
  <fills count="16">
    <fill>
      <patternFill/>
    </fill>
    <fill>
      <patternFill patternType="gray125"/>
    </fill>
    <fill>
      <patternFill patternType="solid">
        <fgColor rgb="FFFFF9E6"/>
        <bgColor rgb="FFFFF2E8"/>
      </patternFill>
    </fill>
    <fill>
      <patternFill patternType="solid">
        <fgColor rgb="FFEAF1F6"/>
        <bgColor rgb="FFE8EEF7"/>
      </patternFill>
    </fill>
    <fill>
      <patternFill patternType="solid">
        <fgColor rgb="FFC6EFCE"/>
        <bgColor rgb="FFD9D9D9"/>
      </patternFill>
    </fill>
    <fill>
      <patternFill patternType="solid">
        <fgColor rgb="FFFFEB9C"/>
        <bgColor rgb="FFFFD8A8"/>
      </patternFill>
    </fill>
    <fill>
      <patternFill patternType="solid">
        <fgColor rgb="FFFFD8A8"/>
        <bgColor rgb="FFFFEB9C"/>
      </patternFill>
    </fill>
    <fill>
      <patternFill patternType="solid">
        <fgColor rgb="FFFFC7CE"/>
        <bgColor rgb="FFFFD8A8"/>
      </patternFill>
    </fill>
    <fill>
      <patternFill patternType="solid">
        <fgColor rgb="FF1F3864"/>
        <bgColor rgb="FF333333"/>
      </patternFill>
    </fill>
    <fill>
      <patternFill patternType="solid">
        <fgColor rgb="FFE8EEF7"/>
        <bgColor rgb="FFEAF1F6"/>
      </patternFill>
    </fill>
    <fill>
      <patternFill patternType="solid">
        <fgColor rgb="FFEAF3EA"/>
        <bgColor rgb="FFEAF1F6"/>
      </patternFill>
    </fill>
    <fill>
      <patternFill patternType="solid">
        <fgColor rgb="FFFBEAEC"/>
        <bgColor rgb="FFF2EAF6"/>
      </patternFill>
    </fill>
    <fill>
      <patternFill patternType="solid">
        <fgColor rgb="FFF3EEF8"/>
        <bgColor rgb="FFF2EAF6"/>
      </patternFill>
    </fill>
    <fill>
      <patternFill patternType="solid">
        <fgColor rgb="FFFFF2E8"/>
        <bgColor rgb="FFFFF9E6"/>
      </patternFill>
    </fill>
    <fill>
      <patternFill patternType="solid">
        <fgColor rgb="FFE8F4FA"/>
        <bgColor rgb="FFEAF1F6"/>
      </patternFill>
    </fill>
    <fill>
      <patternFill patternType="solid">
        <fgColor rgb="FFF2EAF6"/>
        <bgColor rgb="FFF3EE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2" borderId="0" applyAlignment="1" pivotButton="0" quotePrefix="0" xfId="0">
      <alignment horizontal="general" vertical="top" wrapText="1"/>
    </xf>
    <xf numFmtId="0" fontId="6" fillId="3" borderId="0" applyAlignment="1" pivotButton="0" quotePrefix="0" xfId="0">
      <alignment horizontal="general" vertical="top" wrapText="1"/>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8" fillId="8" borderId="1" applyAlignment="1" pivotButton="0" quotePrefix="0" xfId="0">
      <alignment horizontal="center" vertical="center" wrapText="1"/>
    </xf>
    <xf numFmtId="0" fontId="7" fillId="0" borderId="1" applyAlignment="1" pivotButton="0" quotePrefix="0" xfId="0">
      <alignment horizontal="general" vertical="top" wrapText="1"/>
    </xf>
    <xf numFmtId="0" fontId="7" fillId="9" borderId="1" applyAlignment="1" pivotButton="0" quotePrefix="0" xfId="0">
      <alignment horizontal="general" vertical="top" wrapText="1"/>
    </xf>
    <xf numFmtId="0" fontId="7" fillId="2" borderId="1" applyAlignment="1" pivotButton="0" quotePrefix="0" xfId="0">
      <alignment horizontal="general" vertical="top" wrapText="1"/>
    </xf>
    <xf numFmtId="0" fontId="9" fillId="2" borderId="1" applyAlignment="1" pivotButton="0" quotePrefix="0" xfId="0">
      <alignment horizontal="general" vertical="top" wrapText="1"/>
    </xf>
    <xf numFmtId="2" fontId="7" fillId="2" borderId="1" applyAlignment="1" pivotButton="0" quotePrefix="0" xfId="0">
      <alignment horizontal="general" vertical="top" wrapText="1"/>
    </xf>
    <xf numFmtId="3" fontId="7" fillId="2" borderId="1" applyAlignment="1" pivotButton="0" quotePrefix="0" xfId="0">
      <alignment horizontal="general" vertical="top" wrapText="1"/>
    </xf>
    <xf numFmtId="164" fontId="7" fillId="2" borderId="1" applyAlignment="1" pivotButton="0" quotePrefix="0" xfId="0">
      <alignment horizontal="general" vertical="top" wrapText="1"/>
    </xf>
    <xf numFmtId="0" fontId="7" fillId="10" borderId="1" applyAlignment="1" pivotButton="0" quotePrefix="0" xfId="0">
      <alignment horizontal="general" vertical="top" wrapText="1"/>
    </xf>
    <xf numFmtId="0" fontId="7" fillId="11" borderId="1" applyAlignment="1" pivotButton="0" quotePrefix="0" xfId="0">
      <alignment horizontal="general" vertical="top" wrapText="1"/>
    </xf>
    <xf numFmtId="0" fontId="7"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7" fillId="14" borderId="1" applyAlignment="1" pivotButton="0" quotePrefix="0" xfId="0">
      <alignment horizontal="general" vertical="top" wrapText="1"/>
    </xf>
    <xf numFmtId="0" fontId="7" fillId="15" borderId="1" applyAlignment="1" pivotButton="0" quotePrefix="0" xfId="0">
      <alignment horizontal="general" vertical="top" wrapText="1"/>
    </xf>
    <xf numFmtId="0" fontId="7" fillId="3" borderId="1" applyAlignment="1" pivotButton="0" quotePrefix="0" xfId="0">
      <alignment horizontal="general" vertical="top"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7" fillId="3" borderId="1" applyAlignment="1" pivotButton="0" quotePrefix="0" xfId="0">
      <alignment horizontal="center" vertical="center"/>
    </xf>
    <xf numFmtId="0" fontId="10" fillId="2" borderId="1" applyAlignment="1" pivotButton="0" quotePrefix="0" xfId="0">
      <alignment horizontal="center" vertical="center"/>
    </xf>
    <xf numFmtId="165" fontId="7" fillId="2" borderId="1" applyAlignment="1" pivotButton="0" quotePrefix="0" xfId="0">
      <alignment horizontal="general" vertical="top" wrapText="1"/>
    </xf>
    <xf numFmtId="0" fontId="11" fillId="0" borderId="0" applyAlignment="1" pivotButton="0" quotePrefix="0" xfId="0">
      <alignment horizontal="general" vertical="bottom"/>
    </xf>
    <xf numFmtId="0" fontId="8" fillId="8" borderId="0" applyAlignment="1" pivotButton="0" quotePrefix="0" xfId="0">
      <alignment horizontal="center" vertical="center"/>
    </xf>
    <xf numFmtId="0" fontId="7" fillId="3" borderId="0" applyAlignment="1" pivotButton="0" quotePrefix="0" xfId="0">
      <alignment horizontal="general" vertical="top" wrapText="1"/>
    </xf>
    <xf numFmtId="2" fontId="7" fillId="3" borderId="0" applyAlignment="1" pivotButton="0" quotePrefix="0" xfId="0">
      <alignment horizontal="general" vertical="top" wrapText="1"/>
    </xf>
    <xf numFmtId="166" fontId="7" fillId="3" borderId="0" applyAlignment="1" pivotButton="0" quotePrefix="0" xfId="0">
      <alignment horizontal="general" vertical="top" wrapText="1"/>
    </xf>
    <xf numFmtId="167" fontId="7" fillId="3" borderId="0" applyAlignment="1" pivotButton="0" quotePrefix="0" xfId="0">
      <alignment horizontal="general" vertical="top" wrapText="1"/>
    </xf>
    <xf numFmtId="2" fontId="7" fillId="2" borderId="1" applyAlignment="1" pivotButton="0" quotePrefix="0" xfId="0">
      <alignment horizontal="center" vertical="center"/>
    </xf>
    <xf numFmtId="166" fontId="7" fillId="2" borderId="1" applyAlignment="1" pivotButton="0" quotePrefix="0" xfId="0">
      <alignment horizontal="center" vertical="center"/>
    </xf>
    <xf numFmtId="3" fontId="7" fillId="2" borderId="1" applyAlignment="1" pivotButton="0" quotePrefix="0" xfId="0">
      <alignment horizontal="center" vertical="center"/>
    </xf>
    <xf numFmtId="167" fontId="7" fillId="2" borderId="1" applyAlignment="1" pivotButton="0" quotePrefix="0" xfId="0">
      <alignment horizontal="center" vertical="center"/>
    </xf>
    <xf numFmtId="0" fontId="12" fillId="0" borderId="0" applyAlignment="1" pivotButton="0" quotePrefix="0" xfId="0">
      <alignment horizontal="general" vertical="bottom"/>
    </xf>
    <xf numFmtId="0" fontId="12" fillId="2"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2" borderId="0" applyAlignment="1" pivotButton="0" quotePrefix="0" xfId="0">
      <alignment horizontal="general" vertical="top" wrapText="1"/>
    </xf>
    <xf numFmtId="0" fontId="6" fillId="3" borderId="0" applyAlignment="1" pivotButton="0" quotePrefix="0" xfId="0">
      <alignment horizontal="general" vertical="top" wrapText="1"/>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8" fillId="8" borderId="1" applyAlignment="1" pivotButton="0" quotePrefix="0" xfId="0">
      <alignment horizontal="center" vertical="center" wrapText="1"/>
    </xf>
    <xf numFmtId="0" fontId="7" fillId="0" borderId="1" applyAlignment="1" pivotButton="0" quotePrefix="0" xfId="0">
      <alignment horizontal="general" vertical="top" wrapText="1"/>
    </xf>
    <xf numFmtId="0" fontId="7" fillId="9" borderId="1" applyAlignment="1" pivotButton="0" quotePrefix="0" xfId="0">
      <alignment horizontal="general" vertical="top" wrapText="1"/>
    </xf>
    <xf numFmtId="0" fontId="7" fillId="2" borderId="1" applyAlignment="1" pivotButton="0" quotePrefix="0" xfId="0">
      <alignment horizontal="general" vertical="top" wrapText="1"/>
    </xf>
    <xf numFmtId="0" fontId="9" fillId="2" borderId="1" applyAlignment="1" pivotButton="0" quotePrefix="0" xfId="0">
      <alignment horizontal="general" vertical="top" wrapText="1"/>
    </xf>
    <xf numFmtId="2" fontId="7" fillId="2" borderId="1" applyAlignment="1" pivotButton="0" quotePrefix="0" xfId="0">
      <alignment horizontal="general" vertical="top" wrapText="1"/>
    </xf>
    <xf numFmtId="3" fontId="7" fillId="2" borderId="1" applyAlignment="1" pivotButton="0" quotePrefix="0" xfId="0">
      <alignment horizontal="general" vertical="top" wrapText="1"/>
    </xf>
    <xf numFmtId="164" fontId="7" fillId="2" borderId="1" applyAlignment="1" pivotButton="0" quotePrefix="0" xfId="0">
      <alignment horizontal="general" vertical="top" wrapText="1"/>
    </xf>
    <xf numFmtId="0" fontId="7" fillId="10" borderId="1" applyAlignment="1" pivotButton="0" quotePrefix="0" xfId="0">
      <alignment horizontal="general" vertical="top" wrapText="1"/>
    </xf>
    <xf numFmtId="0" fontId="7" fillId="11" borderId="1" applyAlignment="1" pivotButton="0" quotePrefix="0" xfId="0">
      <alignment horizontal="general" vertical="top" wrapText="1"/>
    </xf>
    <xf numFmtId="0" fontId="7"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7" fillId="14" borderId="1" applyAlignment="1" pivotButton="0" quotePrefix="0" xfId="0">
      <alignment horizontal="general" vertical="top" wrapText="1"/>
    </xf>
    <xf numFmtId="0" fontId="7" fillId="15" borderId="1" applyAlignment="1" pivotButton="0" quotePrefix="0" xfId="0">
      <alignment horizontal="general" vertical="top" wrapText="1"/>
    </xf>
    <xf numFmtId="0" fontId="7" fillId="3" borderId="1" applyAlignment="1" pivotButton="0" quotePrefix="0" xfId="0">
      <alignment horizontal="general" vertical="top"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7" fillId="3" borderId="1" applyAlignment="1" pivotButton="0" quotePrefix="0" xfId="0">
      <alignment horizontal="center" vertical="center"/>
    </xf>
    <xf numFmtId="0" fontId="10" fillId="2" borderId="1" applyAlignment="1" pivotButton="0" quotePrefix="0" xfId="0">
      <alignment horizontal="center" vertical="center"/>
    </xf>
    <xf numFmtId="165" fontId="7" fillId="2" borderId="1" applyAlignment="1" pivotButton="0" quotePrefix="0" xfId="0">
      <alignment horizontal="general" vertical="top" wrapText="1"/>
    </xf>
    <xf numFmtId="0" fontId="11" fillId="0" borderId="0" applyAlignment="1" pivotButton="0" quotePrefix="0" xfId="0">
      <alignment horizontal="general" vertical="bottom"/>
    </xf>
    <xf numFmtId="0" fontId="8" fillId="8" borderId="0" applyAlignment="1" pivotButton="0" quotePrefix="0" xfId="0">
      <alignment horizontal="center" vertical="center"/>
    </xf>
    <xf numFmtId="0" fontId="7" fillId="3" borderId="0" applyAlignment="1" pivotButton="0" quotePrefix="0" xfId="0">
      <alignment horizontal="general" vertical="top" wrapText="1"/>
    </xf>
    <xf numFmtId="2" fontId="7" fillId="3" borderId="0" applyAlignment="1" pivotButton="0" quotePrefix="0" xfId="0">
      <alignment horizontal="general" vertical="top" wrapText="1"/>
    </xf>
    <xf numFmtId="166" fontId="7" fillId="3" borderId="0" applyAlignment="1" pivotButton="0" quotePrefix="0" xfId="0">
      <alignment horizontal="general" vertical="top" wrapText="1"/>
    </xf>
    <xf numFmtId="167" fontId="7" fillId="3" borderId="0" applyAlignment="1" pivotButton="0" quotePrefix="0" xfId="0">
      <alignment horizontal="general" vertical="top" wrapText="1"/>
    </xf>
    <xf numFmtId="2" fontId="7" fillId="2" borderId="1" applyAlignment="1" pivotButton="0" quotePrefix="0" xfId="0">
      <alignment horizontal="center" vertical="center"/>
    </xf>
    <xf numFmtId="166" fontId="7" fillId="2" borderId="1" applyAlignment="1" pivotButton="0" quotePrefix="0" xfId="0">
      <alignment horizontal="center" vertical="center"/>
    </xf>
    <xf numFmtId="3" fontId="7" fillId="2" borderId="1" applyAlignment="1" pivotButton="0" quotePrefix="0" xfId="0">
      <alignment horizontal="center" vertical="center"/>
    </xf>
    <xf numFmtId="167" fontId="7" fillId="2" borderId="1" applyAlignment="1" pivotButton="0" quotePrefix="0" xfId="0">
      <alignment horizontal="center" vertical="center"/>
    </xf>
    <xf numFmtId="0" fontId="12" fillId="0" borderId="0" applyAlignment="1" pivotButton="0" quotePrefix="0" xfId="0">
      <alignment horizontal="general" vertical="bottom"/>
    </xf>
    <xf numFmtId="0" fontId="12" fillId="2"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bgColor rgb="FFC6EFCE"/>
        </patternFill>
      </fill>
    </dxf>
    <dxf>
      <fill>
        <patternFill>
          <bgColor rgb="FFFFEB9C"/>
        </patternFill>
      </fill>
    </dxf>
    <dxf>
      <fill>
        <patternFill>
          <bgColor rgb="FFFFD8A8"/>
        </patternFill>
      </fill>
    </dxf>
    <dxf>
      <fill>
        <patternFill>
          <bgColor rgb="FFFFC7CE"/>
        </patternFill>
      </fill>
    </dxf>
  </dxfs>
  <colors>
    <indexedColors>
      <rgbColor rgb="FF000000"/>
      <rgbColor rgb="FFFFFFFF"/>
      <rgbColor rgb="FFFF0000"/>
      <rgbColor rgb="FF00FF00"/>
      <rgbColor rgb="FF0000FF"/>
      <rgbColor rgb="FFFFF2E8"/>
      <rgbColor rgb="FFFF00FF"/>
      <rgbColor rgb="FF00FFFF"/>
      <rgbColor rgb="FF800000"/>
      <rgbColor rgb="FF008000"/>
      <rgbColor rgb="FF000080"/>
      <rgbColor rgb="FF808000"/>
      <rgbColor rgb="FF800080"/>
      <rgbColor rgb="FF008080"/>
      <rgbColor rgb="FFFFC7CE"/>
      <rgbColor rgb="FF6B7B7A"/>
      <rgbColor rgb="FFF3EEF8"/>
      <rgbColor rgb="FF993366"/>
      <rgbColor rgb="FFFFF9E6"/>
      <rgbColor rgb="FFE8F4FA"/>
      <rgbColor rgb="FF660066"/>
      <rgbColor rgb="FFFF8080"/>
      <rgbColor rgb="FF0066CC"/>
      <rgbColor rgb="FFD9D9D9"/>
      <rgbColor rgb="FF000080"/>
      <rgbColor rgb="FFFF00FF"/>
      <rgbColor rgb="FFEAF3EA"/>
      <rgbColor rgb="FF00FFFF"/>
      <rgbColor rgb="FF800080"/>
      <rgbColor rgb="FF800000"/>
      <rgbColor rgb="FF008080"/>
      <rgbColor rgb="FF0000FF"/>
      <rgbColor rgb="FF00CCFF"/>
      <rgbColor rgb="FFEAF1F6"/>
      <rgbColor rgb="FFC6EFCE"/>
      <rgbColor rgb="FFFFEB9C"/>
      <rgbColor rgb="FFE8EEF7"/>
      <rgbColor rgb="FFFBEAEC"/>
      <rgbColor rgb="FFF2EAF6"/>
      <rgbColor rgb="FFFFD8A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3" min="1" max="1"/>
    <col width="110" customWidth="1" style="43" min="2" max="2"/>
  </cols>
  <sheetData>
    <row r="1" ht="18.55" customHeight="1" s="44">
      <c r="A1" s="45" t="inlineStr">
        <is>
          <t>CMAP 2026 — Week 3 Evaluation Template</t>
        </is>
      </c>
    </row>
    <row r="2" ht="15" customHeight="1" s="44">
      <c r="A2" s="46" t="inlineStr">
        <is>
          <t>Owner: Maksim (Finance &amp; Evaluation Analyst)</t>
        </is>
      </c>
    </row>
    <row r="4" ht="23.85" customHeight="1" s="44">
      <c r="A4" s="47" t="inlineStr">
        <is>
          <t>PURPOSE</t>
        </is>
      </c>
      <c r="B4" s="48" t="inlineStr">
        <is>
          <t>Capture the model's answers, score them against the gold standard, and auto-produce the Accuracy Report and RAG Comparison Results.</t>
        </is>
      </c>
    </row>
    <row r="5" ht="15" customHeight="1" s="44">
      <c r="A5" s="47" t="n"/>
      <c r="B5" s="48" t="n"/>
    </row>
    <row r="6" ht="15" customHeight="1" s="44">
      <c r="A6" s="47" t="inlineStr">
        <is>
          <t>THE ORDER OF WORK</t>
        </is>
      </c>
      <c r="B6" s="48" t="n"/>
    </row>
    <row r="7" ht="15" customHeight="1" s="44">
      <c r="A7" s="47" t="inlineStr">
        <is>
          <t>Step 1</t>
        </is>
      </c>
      <c r="B7" s="48" t="inlineStr">
        <is>
          <t>Run the RAG pipeline over the 100 benchmark questions. Export its answers.</t>
        </is>
      </c>
    </row>
    <row r="8" ht="15" customHeight="1" s="44">
      <c r="A8" s="47" t="inlineStr">
        <is>
          <t>Step 2</t>
        </is>
      </c>
      <c r="B8" s="48" t="inlineStr">
        <is>
          <t>Paste those answers into the 'ModelAnswers' sheet (yellow columns only). One row per question, per config.</t>
        </is>
      </c>
    </row>
    <row r="9" ht="15" customHeight="1" s="44">
      <c r="A9" s="47" t="inlineStr">
        <is>
          <t>Step 3</t>
        </is>
      </c>
      <c r="B9" s="48" t="inlineStr">
        <is>
          <t>Go to 'Evaluation'. The question, gold answer and model answer pull through automatically. You fill in Score (1-4) and Rationale.</t>
        </is>
      </c>
    </row>
    <row r="10" ht="15" customHeight="1" s="44">
      <c r="A10" s="47" t="inlineStr">
        <is>
          <t>Step 4</t>
        </is>
      </c>
      <c r="B10" s="48" t="inlineStr">
        <is>
          <t>'AccuracyReport' updates itself — average score, score distribution, per-lender and per-category breakdown, retrieval hit rate.</t>
        </is>
      </c>
    </row>
    <row r="11" ht="15" customHeight="1" s="44">
      <c r="A11" s="47" t="inlineStr">
        <is>
          <t>Step 5</t>
        </is>
      </c>
      <c r="B11" s="48" t="inlineStr">
        <is>
          <t>Repeat Steps 1-4 for each RAG config, then record the headline numbers in 'RAG_Comparison'.</t>
        </is>
      </c>
    </row>
    <row r="12" ht="15" customHeight="1" s="44">
      <c r="A12" s="47" t="n"/>
      <c r="B12" s="48" t="n"/>
    </row>
    <row r="13" ht="15" customHeight="1" s="44">
      <c r="A13" s="47" t="inlineStr">
        <is>
          <t>COLOUR KEY</t>
        </is>
      </c>
      <c r="B13" s="48" t="n"/>
    </row>
    <row r="14" ht="15" customHeight="1" s="44">
      <c r="A14" s="49" t="inlineStr">
        <is>
          <t>Yellow cells</t>
        </is>
      </c>
      <c r="B14" s="48" t="inlineStr">
        <is>
          <t>You type here (manual input).</t>
        </is>
      </c>
    </row>
    <row r="15" ht="15" customHeight="1" s="44">
      <c r="A15" s="50" t="inlineStr">
        <is>
          <t>Blue cells</t>
        </is>
      </c>
      <c r="B15" s="48" t="inlineStr">
        <is>
          <t>Auto-calculated by formula — do not overwrite.</t>
        </is>
      </c>
    </row>
    <row r="16" ht="15" customHeight="1" s="44">
      <c r="A16" s="47" t="n"/>
      <c r="B16" s="48" t="n"/>
    </row>
    <row r="17" ht="15" customHeight="1" s="44">
      <c r="A17" s="47" t="inlineStr">
        <is>
          <t>THE GOLDEN RULE</t>
        </is>
      </c>
      <c r="B17" s="48" t="inlineStr">
        <is>
          <t>Every row's 'Source Chunk ID' must exist in Metadata.csv. If the model cites a chunk that isn't there, the answer is not grounded.</t>
        </is>
      </c>
    </row>
    <row r="18" ht="15" customHeight="1" s="44">
      <c r="A18" s="47" t="n"/>
      <c r="B18" s="48" t="n"/>
    </row>
    <row r="19" ht="15" customHeight="1" s="44">
      <c r="A19" s="47" t="inlineStr">
        <is>
          <t>SCORING RUBRIC</t>
        </is>
      </c>
      <c r="B19" s="48" t="n"/>
    </row>
    <row r="20" ht="15" customHeight="1" s="44">
      <c r="A20" s="51" t="inlineStr">
        <is>
          <t>4 / 4</t>
        </is>
      </c>
      <c r="B20" s="48" t="inlineStr">
        <is>
          <t>Completely right — fully correct and complete.</t>
        </is>
      </c>
    </row>
    <row r="21" ht="15" customHeight="1" s="44">
      <c r="A21" s="52" t="inlineStr">
        <is>
          <t>3 / 4</t>
        </is>
      </c>
      <c r="B21" s="48" t="inlineStr">
        <is>
          <t>Correct overall, but contains minor mistakes (e.g. one wrong figure).</t>
        </is>
      </c>
    </row>
    <row r="22" ht="15" customHeight="1" s="44">
      <c r="A22" s="53" t="inlineStr">
        <is>
          <t>2 / 4</t>
        </is>
      </c>
      <c r="B22" s="48" t="inlineStr">
        <is>
          <t>Incorrect in general, but contains some true information.</t>
        </is>
      </c>
    </row>
    <row r="23" ht="15" customHeight="1" s="44">
      <c r="A23" s="54" t="inlineStr">
        <is>
          <t>1 / 4</t>
        </is>
      </c>
      <c r="B23" s="48" t="inlineStr">
        <is>
          <t>Completely wrong — the information is incorrect.</t>
        </is>
      </c>
    </row>
    <row r="24" ht="15" customHeight="1" s="44">
      <c r="A24" s="47" t="n"/>
      <c r="B24" s="48" t="n"/>
    </row>
    <row r="25" ht="23.85" customHeight="1" s="44">
      <c r="A25" s="47" t="inlineStr">
        <is>
          <t>RETRIEVAL vs ANSWER</t>
        </is>
      </c>
      <c r="B25" s="48" t="inlineStr">
        <is>
          <t>Two different things are measured. 'Retrieval Hit' asks: did the system fetch the right chunk? 'Score' asks: was the final answer correct? A model can retrieve the right chunk and still answer badly — and vice versa.</t>
        </is>
      </c>
    </row>
    <row r="26" ht="15" customHeight="1" s="44">
      <c r="A26" s="47" t="n"/>
      <c r="B26" s="48" t="n"/>
    </row>
    <row r="27" ht="15" customHeight="1" s="44">
      <c r="A27" s="47" t="inlineStr">
        <is>
          <t>FILES THIS CONNECTS TO</t>
        </is>
      </c>
      <c r="B27" s="48" t="inlineStr">
        <is>
          <t>QuestionBank.xlsx (the 100 questions) · GroundTruth.xlsx (scored examples) · Metadata.csv (chunk tags)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1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3" min="1" max="1"/>
    <col width="10" customWidth="1" style="43" min="2" max="2"/>
    <col width="16" customWidth="1" style="43" min="3" max="3"/>
    <col width="50" customWidth="1" style="43" min="4" max="4"/>
    <col width="16" customWidth="1" style="43" min="5" max="5"/>
    <col width="60" customWidth="1" style="43" min="6" max="6"/>
    <col width="24" customWidth="1" style="43" min="7" max="7"/>
    <col width="13" customWidth="1" style="43" min="8" max="8"/>
    <col width="12" customWidth="1" style="43" min="9" max="9"/>
    <col width="13" customWidth="1" style="43" min="10" max="10"/>
  </cols>
  <sheetData>
    <row r="1" ht="33.75" customHeight="1" s="44">
      <c r="A1" s="55" t="inlineStr">
        <is>
          <t>ID</t>
        </is>
      </c>
      <c r="B1" s="55" t="inlineStr">
        <is>
          <t>Lender</t>
        </is>
      </c>
      <c r="C1" s="55" t="inlineStr">
        <is>
          <t>Category</t>
        </is>
      </c>
      <c r="D1" s="55" t="inlineStr">
        <is>
          <t>Question</t>
        </is>
      </c>
      <c r="E1" s="55" t="inlineStr">
        <is>
          <t>Config Name</t>
        </is>
      </c>
      <c r="F1" s="55" t="inlineStr">
        <is>
          <t>Model Answer</t>
        </is>
      </c>
      <c r="G1" s="55" t="inlineStr">
        <is>
          <t>Retrieved Chunk ID</t>
        </is>
      </c>
      <c r="H1" s="55" t="inlineStr">
        <is>
          <t>Response Time (s)</t>
        </is>
      </c>
      <c r="I1" s="55" t="inlineStr">
        <is>
          <t>Tokens Used</t>
        </is>
      </c>
      <c r="J1" s="55" t="inlineStr">
        <is>
          <t>Est. Cost (USD)</t>
        </is>
      </c>
    </row>
    <row r="2" ht="23.85" customHeight="1" s="44">
      <c r="A2" s="56" t="inlineStr">
        <is>
          <t>RES-01</t>
        </is>
      </c>
      <c r="B2" s="57" t="inlineStr">
        <is>
          <t>Resimac</t>
        </is>
      </c>
      <c r="C2" s="56" t="inlineStr">
        <is>
          <t>ELIGIBILITY</t>
        </is>
      </c>
      <c r="D2" s="56" t="inlineStr">
        <is>
          <t>What minimum ABN and GST registration duration does Resimac's PremiumPLUS tier require?</t>
        </is>
      </c>
      <c r="E2" s="58" t="inlineStr">
        <is>
          <t>v4: gpt-4o-mini + union retrieval (lender OR lender+intent)</t>
        </is>
      </c>
      <c r="F2" s="58" t="inlineStr">
        <is>
          <t>Resimac's PremiumPLUS tier requires a minimum ABN duration of greater than 6 years and a minimum GST registration duration of greater than 3 years. (chunk_id: resimac_customer_tiers)</t>
        </is>
      </c>
      <c r="G2" s="59" t="inlineStr">
        <is>
          <t>resimac_customer_tiers</t>
        </is>
      </c>
      <c r="H2" s="60" t="n">
        <v>3.23</v>
      </c>
      <c r="I2" s="61" t="n">
        <v>1989</v>
      </c>
      <c r="J2" s="62" t="n">
        <v>0.000318</v>
      </c>
    </row>
    <row r="3" ht="23.85" customHeight="1" s="44">
      <c r="A3" s="56" t="inlineStr">
        <is>
          <t>RES-02</t>
        </is>
      </c>
      <c r="B3" s="57" t="inlineStr">
        <is>
          <t>Resimac</t>
        </is>
      </c>
      <c r="C3" s="56" t="inlineStr">
        <is>
          <t>PRICING</t>
        </is>
      </c>
      <c r="D3" s="56" t="inlineStr">
        <is>
          <t>What is Resimac's interest rate for electric vehicles under the PremiumPLUS tier?</t>
        </is>
      </c>
      <c r="E3" s="58" t="inlineStr">
        <is>
          <t>v4: gpt-4o-mini + union retrieval (lender OR lender+intent)</t>
        </is>
      </c>
      <c r="F3" s="58" t="inlineStr">
        <is>
          <t>The interest rate for electric vehicles under the PremiumPLUS tier is **7.54%** per annum (chunk_id: resimac_interest_rates).</t>
        </is>
      </c>
      <c r="G3" s="59" t="inlineStr">
        <is>
          <t>resimac_interest_rates</t>
        </is>
      </c>
      <c r="H3" s="60" t="n">
        <v>3.22</v>
      </c>
      <c r="I3" s="61" t="n">
        <v>2337</v>
      </c>
      <c r="J3" s="62" t="n">
        <v>0.000364</v>
      </c>
    </row>
    <row r="4" ht="23.85" customHeight="1" s="44">
      <c r="A4" s="56" t="inlineStr">
        <is>
          <t>RES-03</t>
        </is>
      </c>
      <c r="B4" s="57" t="inlineStr">
        <is>
          <t>Resimac</t>
        </is>
      </c>
      <c r="C4" s="56" t="inlineStr">
        <is>
          <t>PRICING</t>
        </is>
      </c>
      <c r="D4" s="56" t="inlineStr">
        <is>
          <t>What triggers a +2% risk loading at Resimac, and what is the maximum total risk loading per deal?</t>
        </is>
      </c>
      <c r="E4" s="58" t="inlineStr">
        <is>
          <t>v4: gpt-4o-mini + union retrieval (lender OR lender+intent)</t>
        </is>
      </c>
      <c r="F4" s="58" t="inlineStr">
        <is>
          <t>A +2% risk loading at Resimac applies to the following situations: 
- Private sales 
- Classic cars 
- Assets with age &gt; 16 years at end of term 
- Prime movers 
This information is found in chunk_id **resimac_interest_rates**.
The maximum total risk loading per deal is capped at **4%**. This information is also from chunk_id **resimac_interest_rates**.</t>
        </is>
      </c>
      <c r="G4" s="59" t="inlineStr">
        <is>
          <t>resimac_interest_rates</t>
        </is>
      </c>
      <c r="H4" s="60" t="n">
        <v>3.92</v>
      </c>
      <c r="I4" s="61" t="n">
        <v>2155</v>
      </c>
      <c r="J4" s="62" t="n">
        <v>0.000362</v>
      </c>
    </row>
    <row r="5" ht="35.05" customHeight="1" s="44">
      <c r="A5" s="56" t="inlineStr">
        <is>
          <t>RES-04</t>
        </is>
      </c>
      <c r="B5" s="57" t="inlineStr">
        <is>
          <t>Resimac</t>
        </is>
      </c>
      <c r="C5" s="56" t="inlineStr">
        <is>
          <t>LOAN_LIMITS</t>
        </is>
      </c>
      <c r="D5" s="56" t="inlineStr">
        <is>
          <t>What is the maximum NAF for a Full Doc motor vehicle loan under Resimac's PremiumPLUS/Premium tier, and the per-passenger-vehicle cap?</t>
        </is>
      </c>
      <c r="E5" s="58" t="inlineStr">
        <is>
          <t>v4: gpt-4o-mini + union retrieval (lender OR lender+intent)</t>
        </is>
      </c>
      <c r="F5" s="58" t="inlineStr">
        <is>
          <t>The maximum NAF for a Full Doc motor vehicle loan under Resimac's PremiumPLUS tier is $450k (chunk_id: resimac_loan_limits). For the Premium tier, it is also $400k (chunk_id: resimac_loan_limits). Additionally, the per-passenger-vehicle cap for NAF is $250k (chunk_id: resimac_loan_limits).</t>
        </is>
      </c>
      <c r="G5" s="59" t="inlineStr">
        <is>
          <t>resimac_loan_limits</t>
        </is>
      </c>
      <c r="H5" s="60" t="n">
        <v>3.75</v>
      </c>
      <c r="I5" s="61" t="n">
        <v>2407</v>
      </c>
      <c r="J5" s="62" t="n">
        <v>0.000398</v>
      </c>
    </row>
    <row r="6" ht="23.85" customHeight="1" s="44">
      <c r="A6" s="56" t="inlineStr">
        <is>
          <t>RES-05</t>
        </is>
      </c>
      <c r="B6" s="57" t="inlineStr">
        <is>
          <t>Resimac</t>
        </is>
      </c>
      <c r="C6" s="56" t="inlineStr">
        <is>
          <t>DOCUMENTATION</t>
        </is>
      </c>
      <c r="D6" s="56" t="inlineStr">
        <is>
          <t>Under Resimac's Lite Doc pathway, what are the ATO debt and turnover conditions?</t>
        </is>
      </c>
      <c r="E6" s="58" t="inlineStr">
        <is>
          <t>v4: gpt-4o-mini + union retrieval (lender OR lender+intent)</t>
        </is>
      </c>
      <c r="F6" s="58" t="inlineStr">
        <is>
          <t>Under Resimac's Lite Doc pathway, the ATO debt conditions are as follows: 
- ATO debt must be less than 10% of annual turnover (chunk_id: resimac_documentation).
- ATO debt must be under an established payment arrangement that has been in place for more than 3 months (chunk_id: resimac_documentation).
The turnover condition requires that BAS must show an annualised minimum turnover greater than 2.5 times the asset purchase price (chunk_id: resimac_documentation).</t>
        </is>
      </c>
      <c r="G6" s="59" t="inlineStr">
        <is>
          <t>resimac_documentation</t>
        </is>
      </c>
      <c r="H6" s="60" t="n">
        <v>4.77</v>
      </c>
      <c r="I6" s="61" t="n">
        <v>2527</v>
      </c>
      <c r="J6" s="62" t="n">
        <v>0.000428</v>
      </c>
    </row>
    <row r="7" ht="23.85" customHeight="1" s="44">
      <c r="A7" s="56" t="inlineStr">
        <is>
          <t>RES-06</t>
        </is>
      </c>
      <c r="B7" s="57" t="inlineStr">
        <is>
          <t>Resimac</t>
        </is>
      </c>
      <c r="C7" s="56" t="inlineStr">
        <is>
          <t>ASSET_ELIGIBILITY</t>
        </is>
      </c>
      <c r="D7" s="56" t="inlineStr">
        <is>
          <t>How does Resimac classify a caravan, and what is the maximum asset age at end of term?</t>
        </is>
      </c>
      <c r="E7" s="58" t="inlineStr">
        <is>
          <t>v4: gpt-4o-mini + union retrieval (lender OR lender+intent)</t>
        </is>
      </c>
      <c r="F7" s="58" t="inlineStr">
        <is>
          <t>A caravan is classified as a **primary asset** (chunk_id: resimac_asset_categories). The maximum asset age at the end of the term for primary assets is **25 years** (chunk_id: resimac_asset_categories).</t>
        </is>
      </c>
      <c r="G7" s="59" t="inlineStr">
        <is>
          <t>resimac_asset_categories</t>
        </is>
      </c>
      <c r="H7" s="60" t="n">
        <v>3.82</v>
      </c>
      <c r="I7" s="61" t="n">
        <v>2466</v>
      </c>
      <c r="J7" s="62" t="n">
        <v>0.000391</v>
      </c>
    </row>
    <row r="8" ht="15" customHeight="1" s="44">
      <c r="A8" s="56" t="inlineStr">
        <is>
          <t>RES-07</t>
        </is>
      </c>
      <c r="B8" s="57" t="inlineStr">
        <is>
          <t>Resimac</t>
        </is>
      </c>
      <c r="C8" s="56" t="inlineStr">
        <is>
          <t>EXCLUSIONS</t>
        </is>
      </c>
      <c r="D8" s="56" t="inlineStr">
        <is>
          <t>Can Resimac finance software or a food truck?</t>
        </is>
      </c>
      <c r="E8" s="58" t="inlineStr">
        <is>
          <t>v4: gpt-4o-mini + union retrieval (lender OR lender+intent)</t>
        </is>
      </c>
      <c r="F8" s="58" t="inlineStr">
        <is>
          <t>Resimac cannot finance software under any circumstances as it is listed as an excluded asset (chunk_id: resimac_exclusions). Additionally, a food truck is also an excluded asset and cannot be financed (chunk_id: resimac_exclusions).</t>
        </is>
      </c>
      <c r="G8" s="59" t="inlineStr">
        <is>
          <t>resimac_exclusions</t>
        </is>
      </c>
      <c r="H8" s="60" t="n">
        <v>1.61</v>
      </c>
      <c r="I8" s="61" t="n">
        <v>2203</v>
      </c>
      <c r="J8" s="62" t="n">
        <v>0.000353</v>
      </c>
    </row>
    <row r="9" ht="23.85" customHeight="1" s="44">
      <c r="A9" s="56" t="inlineStr">
        <is>
          <t>RES-08</t>
        </is>
      </c>
      <c r="B9" s="57" t="inlineStr">
        <is>
          <t>Resimac</t>
        </is>
      </c>
      <c r="C9" s="56" t="inlineStr">
        <is>
          <t>FEES</t>
        </is>
      </c>
      <c r="D9" s="56" t="inlineStr">
        <is>
          <t>How does brokerage above 5.5% affect a Resimac deal, and what is the maximum brokerage?</t>
        </is>
      </c>
      <c r="E9" s="58" t="inlineStr">
        <is>
          <t>v4: gpt-4o-mini + union retrieval (lender OR lender+intent)</t>
        </is>
      </c>
      <c r="F9" s="58" t="inlineStr">
        <is>
          <t>Brokerage above 5.5% results in an equivalent of a 0.5% rate increase for every 1% increase in brokerage (or part thereof) (chunk_id: resimac_fees_brokerage). The maximum brokerage allowed is 8.8% (chunk_id: resimac_fees_brokerage).</t>
        </is>
      </c>
      <c r="G9" s="59" t="inlineStr">
        <is>
          <t>resimac_fees_brokerage</t>
        </is>
      </c>
      <c r="H9" s="60" t="n">
        <v>1.54</v>
      </c>
      <c r="I9" s="61" t="n">
        <v>2123</v>
      </c>
      <c r="J9" s="62" t="n">
        <v>0.00035</v>
      </c>
    </row>
    <row r="10" ht="23.85" customHeight="1" s="44">
      <c r="A10" s="56" t="inlineStr">
        <is>
          <t>RES-09</t>
        </is>
      </c>
      <c r="B10" s="57" t="inlineStr">
        <is>
          <t>Resimac</t>
        </is>
      </c>
      <c r="C10" s="56" t="inlineStr">
        <is>
          <t>ELIGIBILITY</t>
        </is>
      </c>
      <c r="D10" s="56" t="inlineStr">
        <is>
          <t>If a Resimac applicant does not own property, what deposit is required?</t>
        </is>
      </c>
      <c r="E10" s="58" t="inlineStr">
        <is>
          <t>v4: gpt-4o-mini + union retrieval (lender OR lender+intent)</t>
        </is>
      </c>
      <c r="F10" s="58" t="inlineStr">
        <is>
          <t>If a Resimac applicant does not own property, a deposit of 10% is required for motor vehicles and 20% for all other assets. This information is sourced from the policy excerpts under "Non property-backed deposits."
- 10% deposit required for motor vehicles (chunk_id: resimac_customer_tiers).
- 20% deposit required for all other assets (chunk_id: resimac_customer_tiers).</t>
        </is>
      </c>
      <c r="G10" s="59" t="inlineStr">
        <is>
          <t>resimac_customer_tiers</t>
        </is>
      </c>
      <c r="H10" s="60" t="n">
        <v>2.08</v>
      </c>
      <c r="I10" s="61" t="n">
        <v>2253</v>
      </c>
      <c r="J10" s="62" t="n">
        <v>0.000377</v>
      </c>
    </row>
    <row r="11" ht="15" customHeight="1" s="44">
      <c r="A11" s="56" t="inlineStr">
        <is>
          <t>RES-10</t>
        </is>
      </c>
      <c r="B11" s="57" t="inlineStr">
        <is>
          <t>Resimac</t>
        </is>
      </c>
      <c r="C11" s="56" t="inlineStr">
        <is>
          <t>SETTLEMENT</t>
        </is>
      </c>
      <c r="D11" s="56" t="inlineStr">
        <is>
          <t>When does Resimac require a Certificate of Currency?</t>
        </is>
      </c>
      <c r="E11" s="58" t="inlineStr">
        <is>
          <t>v4: gpt-4o-mini + union retrieval (lender OR lender+intent)</t>
        </is>
      </c>
      <c r="F11" s="58" t="inlineStr">
        <is>
          <t>Resimac requires a Certificate of Currency (proof of insurance) for NAF amounts greater than $100,000. (chunk_id: resimac_settlement)</t>
        </is>
      </c>
      <c r="G11" s="59" t="inlineStr">
        <is>
          <t>resimac_settlement</t>
        </is>
      </c>
      <c r="H11" s="60" t="n">
        <v>1.72</v>
      </c>
      <c r="I11" s="61" t="n">
        <v>1924</v>
      </c>
      <c r="J11" s="62" t="n">
        <v>0.000304</v>
      </c>
    </row>
    <row r="12" ht="23.85" customHeight="1" s="44">
      <c r="A12" s="56" t="inlineStr">
        <is>
          <t>RES-11</t>
        </is>
      </c>
      <c r="B12" s="57" t="inlineStr">
        <is>
          <t>Resimac</t>
        </is>
      </c>
      <c r="C12" s="56" t="inlineStr">
        <is>
          <t>ELIGIBILITY</t>
        </is>
      </c>
      <c r="D12" s="56" t="inlineStr">
        <is>
          <t>What are the minimum Equifax credit scores for a Full Doc application at Resimac?</t>
        </is>
      </c>
      <c r="E12" s="58" t="inlineStr">
        <is>
          <t>v4: gpt-4o-mini + union retrieval (lender OR lender+intent)</t>
        </is>
      </c>
      <c r="F12" s="58" t="inlineStr">
        <is>
          <t>The minimum Equifax credit scores for a Full Doc application at Resimac are:
- Sole Trader: ≥ 600 (chunk_id: resimac_customer_tiers)
- Company / Guarantor: ≥ 550 (chunk_id: resimac_customer_tiers)
Additionally, a score below 450 will result in a referral or decline (chunk_id: resimac_customer_tiers).</t>
        </is>
      </c>
      <c r="G12" s="59" t="inlineStr">
        <is>
          <t>resimac_customer_tiers</t>
        </is>
      </c>
      <c r="H12" s="60" t="n">
        <v>1.58</v>
      </c>
      <c r="I12" s="61" t="n">
        <v>2498</v>
      </c>
      <c r="J12" s="62" t="n">
        <v>0.000411</v>
      </c>
    </row>
    <row r="13" ht="23.85" customHeight="1" s="44">
      <c r="A13" s="56" t="inlineStr">
        <is>
          <t>RES-12</t>
        </is>
      </c>
      <c r="B13" s="57" t="inlineStr">
        <is>
          <t>Resimac</t>
        </is>
      </c>
      <c r="C13" s="56" t="inlineStr">
        <is>
          <t>LOAN_LIMITS</t>
        </is>
      </c>
      <c r="D13" s="56" t="inlineStr">
        <is>
          <t>What is the maximum loan term at Resimac, including for electric vehicles?</t>
        </is>
      </c>
      <c r="E13" s="58" t="inlineStr">
        <is>
          <t>v4: gpt-4o-mini + union retrieval (lender OR lender+intent)</t>
        </is>
      </c>
      <c r="F13" s="58" t="inlineStr">
        <is>
          <t>The maximum loan term at Resimac is 60 months for Standard loans and up to 84 months for Green Goods (Electric Vehicles). This information comes from the policy excerpt with chunk_id [Source: resimac_loan_limits | Lender: RESIMAC].</t>
        </is>
      </c>
      <c r="G13" s="59" t="inlineStr">
        <is>
          <t>resimac_loan_limits</t>
        </is>
      </c>
      <c r="H13" s="60" t="n">
        <v>1.29</v>
      </c>
      <c r="I13" s="61" t="n">
        <v>2211</v>
      </c>
      <c r="J13" s="62" t="n">
        <v>0.000356</v>
      </c>
    </row>
    <row r="14" ht="23.85" customHeight="1" s="44">
      <c r="A14" s="56" t="inlineStr">
        <is>
          <t>RES-13</t>
        </is>
      </c>
      <c r="B14" s="57" t="inlineStr">
        <is>
          <t>Resimac</t>
        </is>
      </c>
      <c r="C14" s="56" t="inlineStr">
        <is>
          <t>ASSET_ELIGIBILITY</t>
        </is>
      </c>
      <c r="D14" s="56" t="inlineStr">
        <is>
          <t>What balloon percentage is available on a new motor vehicle over a 60-month term at Resimac?</t>
        </is>
      </c>
      <c r="E14" s="58" t="inlineStr">
        <is>
          <t>v4: gpt-4o-mini + union retrieval (lender OR lender+intent)</t>
        </is>
      </c>
      <c r="F14" s="58" t="inlineStr">
        <is>
          <t>For a new motor vehicle over a 60-month term at Resimac, the balloon percentage available is **40%**. This information comes from chunk_id [Source: resimac_asset_categories | Lender: RESIMAC].</t>
        </is>
      </c>
      <c r="G14" s="59" t="inlineStr">
        <is>
          <t>resimac_asset_categories</t>
        </is>
      </c>
      <c r="H14" s="60" t="n">
        <v>1.07</v>
      </c>
      <c r="I14" s="61" t="n">
        <v>2360</v>
      </c>
      <c r="J14" s="62" t="n">
        <v>0.000376</v>
      </c>
    </row>
    <row r="15" ht="23.85" customHeight="1" s="44">
      <c r="A15" s="56" t="inlineStr">
        <is>
          <t>RES-14</t>
        </is>
      </c>
      <c r="B15" s="57" t="inlineStr">
        <is>
          <t>Resimac</t>
        </is>
      </c>
      <c r="C15" s="56" t="inlineStr">
        <is>
          <t>PRICING</t>
        </is>
      </c>
      <c r="D15" s="56" t="inlineStr">
        <is>
          <t>What is Resimac's rate for a secondary asset, and how does it compare to a primary asset?</t>
        </is>
      </c>
      <c r="E15" s="58" t="inlineStr">
        <is>
          <t>v4: gpt-4o-mini + union retrieval (lender OR lender+intent)</t>
        </is>
      </c>
      <c r="F15" s="58" t="inlineStr">
        <is>
          <t>The interest rate for a secondary asset is 12.39% under the PremiumPLUS category and 12.64% under the Premium/Standard/Basic category (chunk_id: resimac_interest_rates). 
In comparison, the interest rate for a primary asset is 8.39% for assets less than 3 years and 9.29% for assets greater than 3 years under the PremiumPLUS category, while it is 8.64% and 9.54% under the Premium/Standard/Basic category (chunk_id: resimac_interest_rates). 
Thus, the rates for secondary assets are significantly higher than for primary assets.</t>
        </is>
      </c>
      <c r="G15" s="59" t="inlineStr">
        <is>
          <t>resimac_interest_rates</t>
        </is>
      </c>
      <c r="H15" s="60" t="n">
        <v>1.71</v>
      </c>
      <c r="I15" s="61" t="n">
        <v>2198</v>
      </c>
      <c r="J15" s="62" t="n">
        <v>0.00039</v>
      </c>
    </row>
    <row r="16" ht="23.85" customHeight="1" s="44">
      <c r="A16" s="56" t="inlineStr">
        <is>
          <t>RES-15</t>
        </is>
      </c>
      <c r="B16" s="57" t="inlineStr">
        <is>
          <t>Resimac</t>
        </is>
      </c>
      <c r="C16" s="56" t="inlineStr">
        <is>
          <t>LOAN_LIMITS</t>
        </is>
      </c>
      <c r="D16" s="56" t="inlineStr">
        <is>
          <t>What are Resimac's total exposure limits for an SME versus a government entity?</t>
        </is>
      </c>
      <c r="E16" s="58" t="inlineStr">
        <is>
          <t>v4: gpt-4o-mini + union retrieval (lender OR lender+intent)</t>
        </is>
      </c>
      <c r="F16" s="58" t="inlineStr">
        <is>
          <t>The total exposure limit for an SME is **$500k** (chunk_id: resimac_loan_limits). The total exposure limit for government/sovereign entities is **$2m** (chunk_id: resimac_loan_limits).</t>
        </is>
      </c>
      <c r="G16" s="59" t="inlineStr">
        <is>
          <t>resimac_loan_limits</t>
        </is>
      </c>
      <c r="H16" s="60" t="n">
        <v>0.99</v>
      </c>
      <c r="I16" s="61" t="n">
        <v>2361</v>
      </c>
      <c r="J16" s="62" t="n">
        <v>0.000378</v>
      </c>
    </row>
    <row r="17" ht="15" customHeight="1" s="44">
      <c r="A17" s="56" t="inlineStr">
        <is>
          <t>RES-16</t>
        </is>
      </c>
      <c r="B17" s="57" t="inlineStr">
        <is>
          <t>Resimac</t>
        </is>
      </c>
      <c r="C17" s="56" t="inlineStr">
        <is>
          <t>ELIGIBILITY</t>
        </is>
      </c>
      <c r="D17" s="56" t="inlineStr">
        <is>
          <t>Does Resimac accept renters, and under which tiers?</t>
        </is>
      </c>
      <c r="E17" s="58" t="inlineStr">
        <is>
          <t>v4: gpt-4o-mini + union retrieval (lender OR lender+intent)</t>
        </is>
      </c>
      <c r="F17" s="58" t="inlineStr">
        <is>
          <t>Yes, Resimac accepts renters under the Standard and Basic tiers. 
- For the Standard tier, renters are accepted provided the ABN duration is greater than 2 years and GST registration is more than 1 year (Chunk ID: resimac_customer_tiers).
- For the Basic tier, renters can also apply if the ABN duration is greater than 1 year and GST registration is more than 1 year (Chunk ID: resimac_customer_tiers).</t>
        </is>
      </c>
      <c r="G17" s="59" t="inlineStr">
        <is>
          <t>resimac_customer_tiers</t>
        </is>
      </c>
      <c r="H17" s="60" t="n">
        <v>2.05</v>
      </c>
      <c r="I17" s="61" t="n">
        <v>2352</v>
      </c>
      <c r="J17" s="62" t="n">
        <v>0.000396</v>
      </c>
    </row>
    <row r="18" ht="15" customHeight="1" s="44">
      <c r="A18" s="56" t="inlineStr">
        <is>
          <t>RES-17</t>
        </is>
      </c>
      <c r="B18" s="57" t="inlineStr">
        <is>
          <t>Resimac</t>
        </is>
      </c>
      <c r="C18" s="56" t="inlineStr">
        <is>
          <t>EXCLUSIONS</t>
        </is>
      </c>
      <c r="D18" s="56" t="inlineStr">
        <is>
          <t>Can a discharged bankrupt get finance from Resimac?</t>
        </is>
      </c>
      <c r="E18" s="58" t="inlineStr">
        <is>
          <t>v4: gpt-4o-mini + union retrieval (lender OR lender+intent)</t>
        </is>
      </c>
      <c r="F18" s="58" t="inlineStr">
        <is>
          <t>No, a discharged bankrupt cannot get finance from Resimac as they are excluded applicants. (chunk_id: resimac_exclusions)</t>
        </is>
      </c>
      <c r="G18" s="59" t="inlineStr">
        <is>
          <t>resimac_exclusions</t>
        </is>
      </c>
      <c r="H18" s="60" t="n">
        <v>1.11</v>
      </c>
      <c r="I18" s="61" t="n">
        <v>2553</v>
      </c>
      <c r="J18" s="62" t="n">
        <v>0.000396</v>
      </c>
    </row>
    <row r="19" ht="23.85" customHeight="1" s="44">
      <c r="A19" s="56" t="inlineStr">
        <is>
          <t>RES-18</t>
        </is>
      </c>
      <c r="B19" s="57" t="inlineStr">
        <is>
          <t>Resimac</t>
        </is>
      </c>
      <c r="C19" s="56" t="inlineStr">
        <is>
          <t>DOCUMENTATION</t>
        </is>
      </c>
      <c r="D19" s="56" t="inlineStr">
        <is>
          <t>What documents are required for a Resimac Low Doc application?</t>
        </is>
      </c>
      <c r="E19" s="58" t="inlineStr">
        <is>
          <t>v4: gpt-4o-mini + union retrieval (lender OR lender+intent)</t>
        </is>
      </c>
      <c r="F19" s="58" t="inlineStr">
        <is>
          <t>To apply for a Resimac Low Doc loan, the following documents are required:
1. **Application + privacy consent** (chunk_id: resimac_documentation)
2. **Asset and liability statement** (chunk_id: resimac_documentation)
Additional information also specifies that an active credit file must be established, with regular industry-related enquiries available (chunk_id: resimac_customer_tiers). 
This information is not available in the provided policy documents.</t>
        </is>
      </c>
      <c r="G19" s="59" t="inlineStr">
        <is>
          <t>resimac_documentation</t>
        </is>
      </c>
      <c r="H19" s="60" t="n">
        <v>1.88</v>
      </c>
      <c r="I19" s="61" t="n">
        <v>2362</v>
      </c>
      <c r="J19" s="62" t="n">
        <v>0.000397</v>
      </c>
    </row>
    <row r="20" ht="15" customHeight="1" s="44">
      <c r="A20" s="56" t="inlineStr">
        <is>
          <t>RES-19</t>
        </is>
      </c>
      <c r="B20" s="57" t="inlineStr">
        <is>
          <t>Resimac</t>
        </is>
      </c>
      <c r="C20" s="56" t="inlineStr">
        <is>
          <t>PRICING</t>
        </is>
      </c>
      <c r="D20" s="56" t="inlineStr">
        <is>
          <t>What is the PremiumPLUS discount at Resimac?</t>
        </is>
      </c>
      <c r="E20" s="58" t="inlineStr">
        <is>
          <t>v4: gpt-4o-mini + union retrieval (lender OR lender+intent)</t>
        </is>
      </c>
      <c r="F20" s="58" t="inlineStr">
        <is>
          <t>The PremiumPLUS discount at Resimac is 25 basis points below Premium/Standard/Basic rates. (Source: resimac_interest_rates)</t>
        </is>
      </c>
      <c r="G20" s="59" t="inlineStr">
        <is>
          <t>resimac_interest_rates</t>
        </is>
      </c>
      <c r="H20" s="60" t="n">
        <v>2.46</v>
      </c>
      <c r="I20" s="61" t="n">
        <v>2168</v>
      </c>
      <c r="J20" s="62" t="n">
        <v>0.000339</v>
      </c>
    </row>
    <row r="21" ht="23.85" customHeight="1" s="44">
      <c r="A21" s="56" t="inlineStr">
        <is>
          <t>RES-20</t>
        </is>
      </c>
      <c r="B21" s="57" t="inlineStr">
        <is>
          <t>Resimac</t>
        </is>
      </c>
      <c r="C21" s="56" t="inlineStr">
        <is>
          <t>ASSET_ELIGIBILITY</t>
        </is>
      </c>
      <c r="D21" s="56" t="inlineStr">
        <is>
          <t>What is the maximum NAF Resimac will finance for a single motorbike?</t>
        </is>
      </c>
      <c r="E21" s="58" t="inlineStr">
        <is>
          <t>v4: gpt-4o-mini + union retrieval (lender OR lender+intent)</t>
        </is>
      </c>
      <c r="F21" s="58" t="inlineStr">
        <is>
          <t>The maximum NAF (Net Amount Financed) that Resimac will finance for a single motorbike is **$75k** (chunk_id: resimac_loan_limits).</t>
        </is>
      </c>
      <c r="G21" s="59" t="inlineStr">
        <is>
          <t>resimac_asset_categories</t>
        </is>
      </c>
      <c r="H21" s="60" t="n">
        <v>1.04</v>
      </c>
      <c r="I21" s="61" t="n">
        <v>2098</v>
      </c>
      <c r="J21" s="62" t="n">
        <v>0.000332</v>
      </c>
    </row>
    <row r="22" ht="23.85" customHeight="1" s="44">
      <c r="A22" s="56" t="inlineStr">
        <is>
          <t>RES-21</t>
        </is>
      </c>
      <c r="B22" s="57" t="inlineStr">
        <is>
          <t>Resimac</t>
        </is>
      </c>
      <c r="C22" s="56" t="inlineStr">
        <is>
          <t>ELIGIBILITY</t>
        </is>
      </c>
      <c r="D22" s="56" t="inlineStr">
        <is>
          <t>How many customer tiers does Resimac use and what are they?</t>
        </is>
      </c>
      <c r="E22" s="58" t="inlineStr">
        <is>
          <t>v4: gpt-4o-mini + union retrieval (lender OR lender+intent)</t>
        </is>
      </c>
      <c r="F22" s="58" t="inlineStr">
        <is>
          <t>Resimac uses four customer tiers: PremiumPLUS, Premium, Standard, and Basic. This information is from chunk_id [resimac_customer_tiers].</t>
        </is>
      </c>
      <c r="G22" s="59" t="inlineStr">
        <is>
          <t>resimac_customer_tiers</t>
        </is>
      </c>
      <c r="H22" s="60" t="n">
        <v>1.05</v>
      </c>
      <c r="I22" s="61" t="n">
        <v>2337</v>
      </c>
      <c r="J22" s="62" t="n">
        <v>0.000365</v>
      </c>
    </row>
    <row r="23" ht="15" customHeight="1" s="44">
      <c r="A23" s="56" t="inlineStr">
        <is>
          <t>RES-22</t>
        </is>
      </c>
      <c r="B23" s="57" t="inlineStr">
        <is>
          <t>Resimac</t>
        </is>
      </c>
      <c r="C23" s="56" t="inlineStr">
        <is>
          <t>EXCLUSIONS</t>
        </is>
      </c>
      <c r="D23" s="56" t="inlineStr">
        <is>
          <t>Does Resimac offer consumer (personal use) loans?</t>
        </is>
      </c>
      <c r="E23" s="58" t="inlineStr">
        <is>
          <t>v4: gpt-4o-mini + union retrieval (lender OR lender+intent)</t>
        </is>
      </c>
      <c r="F23" s="58" t="inlineStr">
        <is>
          <t>No, Resimac does not offer consumer loans; only commercial ABN holders are eligible for financing. This information comes from chunk_id resimac_exclusions.</t>
        </is>
      </c>
      <c r="G23" s="59" t="inlineStr">
        <is>
          <t>resimac_exclusions</t>
        </is>
      </c>
      <c r="H23" s="60" t="n">
        <v>1.01</v>
      </c>
      <c r="I23" s="61" t="n">
        <v>2173</v>
      </c>
      <c r="J23" s="62" t="n">
        <v>0.000341</v>
      </c>
    </row>
    <row r="24" ht="15" customHeight="1" s="44">
      <c r="A24" s="56" t="inlineStr">
        <is>
          <t>RES-23</t>
        </is>
      </c>
      <c r="B24" s="57" t="inlineStr">
        <is>
          <t>Resimac</t>
        </is>
      </c>
      <c r="C24" s="56" t="inlineStr">
        <is>
          <t>PRICING</t>
        </is>
      </c>
      <c r="D24" s="56" t="inlineStr">
        <is>
          <t>What is Resimac's rate for a tertiary asset?</t>
        </is>
      </c>
      <c r="E24" s="58" t="inlineStr">
        <is>
          <t>v4: gpt-4o-mini + union retrieval (lender OR lender+intent)</t>
        </is>
      </c>
      <c r="F24" s="58" t="inlineStr">
        <is>
          <t>This information is not available in the provided policy documents.</t>
        </is>
      </c>
      <c r="G24" s="59" t="inlineStr">
        <is>
          <t>resimac_interest_rates</t>
        </is>
      </c>
      <c r="H24" s="60" t="n">
        <v>0.78</v>
      </c>
      <c r="I24" s="61" t="n">
        <v>2067</v>
      </c>
      <c r="J24" s="62" t="n">
        <v>0.000315</v>
      </c>
    </row>
    <row r="25" ht="23.85" customHeight="1" s="44">
      <c r="A25" s="56" t="inlineStr">
        <is>
          <t>RES-24</t>
        </is>
      </c>
      <c r="B25" s="57" t="inlineStr">
        <is>
          <t>Resimac</t>
        </is>
      </c>
      <c r="C25" s="56" t="inlineStr">
        <is>
          <t>LOAN_LIMITS</t>
        </is>
      </c>
      <c r="D25" s="56" t="inlineStr">
        <is>
          <t>What is the maximum loan term Resimac offers on a standard (non-Green) contract?</t>
        </is>
      </c>
      <c r="E25" s="58" t="inlineStr">
        <is>
          <t>v4: gpt-4o-mini + union retrieval (lender OR lender+intent)</t>
        </is>
      </c>
      <c r="F25" s="58" t="inlineStr">
        <is>
          <t>The maximum loan term Resimac offers on a standard (non-Green) contract is 60 months (chunk_id: resimac_loan_limits).</t>
        </is>
      </c>
      <c r="G25" s="59" t="inlineStr">
        <is>
          <t>resimac_loan_limits</t>
        </is>
      </c>
      <c r="H25" s="60" t="n">
        <v>0.91</v>
      </c>
      <c r="I25" s="61" t="n">
        <v>2342</v>
      </c>
      <c r="J25" s="62" t="n">
        <v>0.000366</v>
      </c>
    </row>
    <row r="26" ht="15" customHeight="1" s="44">
      <c r="A26" s="56" t="inlineStr">
        <is>
          <t>RES-25</t>
        </is>
      </c>
      <c r="B26" s="57" t="inlineStr">
        <is>
          <t>Resimac</t>
        </is>
      </c>
      <c r="C26" s="56" t="inlineStr">
        <is>
          <t>SETTLEMENT</t>
        </is>
      </c>
      <c r="D26" s="56" t="inlineStr">
        <is>
          <t>Does Resimac require PPSR registration on financed assets?</t>
        </is>
      </c>
      <c r="E26" s="58" t="inlineStr">
        <is>
          <t>v4: gpt-4o-mini + union retrieval (lender OR lender+intent)</t>
        </is>
      </c>
      <c r="F26" s="58" t="inlineStr">
        <is>
          <t>Yes, Resimac requires PPSR registration on all financed assets; PPSR fee(s) are charged at cost (chunk_id: resimac_settlement).</t>
        </is>
      </c>
      <c r="G26" s="59" t="inlineStr">
        <is>
          <t>resimac_settlement</t>
        </is>
      </c>
      <c r="H26" s="60" t="n">
        <v>1.86</v>
      </c>
      <c r="I26" s="61" t="n">
        <v>1924</v>
      </c>
      <c r="J26" s="62" t="n">
        <v>0.000303</v>
      </c>
    </row>
    <row r="27" ht="23.85" customHeight="1" s="44">
      <c r="A27" s="56" t="inlineStr">
        <is>
          <t>BFS-01</t>
        </is>
      </c>
      <c r="B27" s="63" t="inlineStr">
        <is>
          <t>BFS</t>
        </is>
      </c>
      <c r="C27" s="56" t="inlineStr">
        <is>
          <t>ELIGIBILITY</t>
        </is>
      </c>
      <c r="D27" s="56" t="inlineStr">
        <is>
          <t>What minimum Experian CCR score does BFS require for the Ultra Prime tier?</t>
        </is>
      </c>
      <c r="E27" s="58" t="inlineStr">
        <is>
          <t>v4: gpt-4o-mini + union retrieval (lender OR lender+intent)</t>
        </is>
      </c>
      <c r="F27" s="58" t="inlineStr">
        <is>
          <t>The minimum Experian CCR score required for the Ultra Prime tier is 960. (chunk_id: bfs_customer_tiers)</t>
        </is>
      </c>
      <c r="G27" s="59" t="inlineStr">
        <is>
          <t>bfs_customer_tiers</t>
        </is>
      </c>
      <c r="H27" s="60" t="n">
        <v>2.87</v>
      </c>
      <c r="I27" s="61" t="n">
        <v>2162</v>
      </c>
      <c r="J27" s="62" t="n">
        <v>0.000336</v>
      </c>
    </row>
    <row r="28" ht="15" customHeight="1" s="44">
      <c r="A28" s="56" t="inlineStr">
        <is>
          <t>BFS-02</t>
        </is>
      </c>
      <c r="B28" s="63" t="inlineStr">
        <is>
          <t>BFS</t>
        </is>
      </c>
      <c r="C28" s="56" t="inlineStr">
        <is>
          <t>ELIGIBILITY</t>
        </is>
      </c>
      <c r="D28" s="56" t="inlineStr">
        <is>
          <t>Which BFS tiers require an additional 20% deposit?</t>
        </is>
      </c>
      <c r="E28" s="58" t="inlineStr">
        <is>
          <t>v4: gpt-4o-mini + union retrieval (lender OR lender+intent)</t>
        </is>
      </c>
      <c r="F28" s="58" t="inlineStr">
        <is>
          <t xml:space="preserve">The BFS tiers that require an additional 20% deposit are Tier 3 and Tier 4 in the PRIME group (chunk_id: bfs_customer_tiers). Additionally, the BFS Plus group requires a 20% deposit for the discharged bankrupt pathway (chunk_id: bfs_customer_tiers). </t>
        </is>
      </c>
      <c r="G28" s="59" t="inlineStr">
        <is>
          <t>bfs_customer_tiers</t>
        </is>
      </c>
      <c r="H28" s="60" t="n">
        <v>5.01</v>
      </c>
      <c r="I28" s="61" t="n">
        <v>2192</v>
      </c>
      <c r="J28" s="62" t="n">
        <v>0.000355</v>
      </c>
    </row>
    <row r="29" ht="23.85" customHeight="1" s="44">
      <c r="A29" s="56" t="inlineStr">
        <is>
          <t>BFS-03</t>
        </is>
      </c>
      <c r="B29" s="63" t="inlineStr">
        <is>
          <t>BFS</t>
        </is>
      </c>
      <c r="C29" s="56" t="inlineStr">
        <is>
          <t>PRICING</t>
        </is>
      </c>
      <c r="D29" s="56" t="inlineStr">
        <is>
          <t>What is BFS's commercial base rate for a new/demo vehicle under Tier 1, and what is the maximum broker margin?</t>
        </is>
      </c>
      <c r="E29" s="58" t="inlineStr">
        <is>
          <t>v4: gpt-4o-mini + union retrieval (lender OR lender+intent)</t>
        </is>
      </c>
      <c r="F29" s="58" t="inlineStr">
        <is>
          <t>The BFS commercial base rate for a new/demo vehicle under Tier 1 is **8.25%** (chunk_id: bfs_commercial_rates). The maximum broker margin is **+6%** above base (chunk_id: bfs_commercial_rates).</t>
        </is>
      </c>
      <c r="G29" s="59" t="inlineStr">
        <is>
          <t>bfs_commercial_rates</t>
        </is>
      </c>
      <c r="H29" s="60" t="n">
        <v>1.33</v>
      </c>
      <c r="I29" s="61" t="n">
        <v>2015</v>
      </c>
      <c r="J29" s="62" t="n">
        <v>0.000325</v>
      </c>
    </row>
    <row r="30" ht="23.85" customHeight="1" s="44">
      <c r="A30" s="56" t="inlineStr">
        <is>
          <t>BFS-04</t>
        </is>
      </c>
      <c r="B30" s="63" t="inlineStr">
        <is>
          <t>BFS</t>
        </is>
      </c>
      <c r="C30" s="56" t="inlineStr">
        <is>
          <t>LOAN_LIMITS</t>
        </is>
      </c>
      <c r="D30" s="56" t="inlineStr">
        <is>
          <t>What is BFS's maximum loan term for the PRIME group, and the maximum vehicle age for terms over 60 months?</t>
        </is>
      </c>
      <c r="E30" s="58" t="inlineStr">
        <is>
          <t>v4: gpt-4o-mini + union retrieval (lender OR lender+intent)</t>
        </is>
      </c>
      <c r="F30" s="58" t="inlineStr">
        <is>
          <t>BFS's maximum loan term for the PRIME group is **84 months** (chunk_id: bfs_loan_limits_terms). The maximum vehicle age for terms over 60 months is **7 years** at the start of the term (chunk_id: bfs_loan_limits_terms).</t>
        </is>
      </c>
      <c r="G30" s="59" t="inlineStr">
        <is>
          <t>bfs_loan_limits_terms</t>
        </is>
      </c>
      <c r="H30" s="60" t="n">
        <v>1.52</v>
      </c>
      <c r="I30" s="61" t="n">
        <v>1982</v>
      </c>
      <c r="J30" s="62" t="n">
        <v>0.000322</v>
      </c>
    </row>
    <row r="31" ht="23.85" customHeight="1" s="44">
      <c r="A31" s="56" t="inlineStr">
        <is>
          <t>BFS-05</t>
        </is>
      </c>
      <c r="B31" s="63" t="inlineStr">
        <is>
          <t>BFS</t>
        </is>
      </c>
      <c r="C31" s="56" t="inlineStr">
        <is>
          <t>ASSET_ELIGIBILITY</t>
        </is>
      </c>
      <c r="D31" s="56" t="inlineStr">
        <is>
          <t>Can BFS finance heavy equipment or plant?</t>
        </is>
      </c>
      <c r="E31" s="58" t="inlineStr">
        <is>
          <t>v4: gpt-4o-mini + union retrieval (lender OR lender+intent)</t>
        </is>
      </c>
      <c r="F31" s="58" t="inlineStr">
        <is>
          <t>This information is not available in the provided policy documents.</t>
        </is>
      </c>
      <c r="G31" s="59" t="inlineStr">
        <is>
          <t>bfs_vehicle_types</t>
        </is>
      </c>
      <c r="H31" s="60" t="n">
        <v>0.88</v>
      </c>
      <c r="I31" s="61" t="n">
        <v>2351</v>
      </c>
      <c r="J31" s="62" t="n">
        <v>0.000358</v>
      </c>
    </row>
    <row r="32" ht="23.85" customHeight="1" s="44">
      <c r="A32" s="56" t="inlineStr">
        <is>
          <t>BFS-06</t>
        </is>
      </c>
      <c r="B32" s="63" t="inlineStr">
        <is>
          <t>BFS</t>
        </is>
      </c>
      <c r="C32" s="56" t="inlineStr">
        <is>
          <t>EXCLUSIONS</t>
        </is>
      </c>
      <c r="D32" s="56" t="inlineStr">
        <is>
          <t>Can a BFS loan be used for debt consolidation or cash raising?</t>
        </is>
      </c>
      <c r="E32" s="58" t="inlineStr">
        <is>
          <t>v4: gpt-4o-mini + union retrieval (lender OR lender+intent)</t>
        </is>
      </c>
      <c r="F32" s="58" t="inlineStr">
        <is>
          <t>No, a BFS loan cannot be used for debt consolidation or cash raising. These loan purposes are explicitly excluded for all tiers as stated in the policy excerpts (chunk_id: bfs_exclusions).</t>
        </is>
      </c>
      <c r="G32" s="59" t="inlineStr">
        <is>
          <t>bfs_exclusions</t>
        </is>
      </c>
      <c r="H32" s="60" t="n">
        <v>1.12</v>
      </c>
      <c r="I32" s="61" t="n">
        <v>2170</v>
      </c>
      <c r="J32" s="62" t="n">
        <v>0.000343</v>
      </c>
    </row>
    <row r="33" ht="23.85" customHeight="1" s="44">
      <c r="A33" s="56" t="inlineStr">
        <is>
          <t>BFS-07</t>
        </is>
      </c>
      <c r="B33" s="63" t="inlineStr">
        <is>
          <t>BFS</t>
        </is>
      </c>
      <c r="C33" s="56" t="inlineStr">
        <is>
          <t>ASSET_ELIGIBILITY</t>
        </is>
      </c>
      <c r="D33" s="56" t="inlineStr">
        <is>
          <t>What rate loading and inspection requirement apply to a BFS private sale?</t>
        </is>
      </c>
      <c r="E33" s="58" t="inlineStr">
        <is>
          <t>v4: gpt-4o-mini + union retrieval (lender OR lender+intent)</t>
        </is>
      </c>
      <c r="F33" s="58" t="inlineStr">
        <is>
          <t>For a BFS private sale, the following applies:
1. **Inspection Requirement:** A vehicle inspection report is required, specifically through DoxAI Asset Verification via the DoxAI Portal (preferred) or Redbook. This information comes from chunk_id ["bfs_private_sales"].
2. **Rate Loading:** There is a private sale loading of +0.50% on both commercial and consumer rates. This information also comes from chunk_id ["bfs_private_sales"].</t>
        </is>
      </c>
      <c r="G33" s="59" t="inlineStr">
        <is>
          <t>bfs_private_sales</t>
        </is>
      </c>
      <c r="H33" s="60" t="n">
        <v>2.12</v>
      </c>
      <c r="I33" s="61" t="n">
        <v>2035</v>
      </c>
      <c r="J33" s="62" t="n">
        <v>0.000348</v>
      </c>
    </row>
    <row r="34" ht="23.85" customHeight="1" s="44">
      <c r="A34" s="56" t="inlineStr">
        <is>
          <t>BFS-08</t>
        </is>
      </c>
      <c r="B34" s="63" t="inlineStr">
        <is>
          <t>BFS</t>
        </is>
      </c>
      <c r="C34" s="56" t="inlineStr">
        <is>
          <t>FEES</t>
        </is>
      </c>
      <c r="D34" s="56" t="inlineStr">
        <is>
          <t>What happens to BFS broker commission if a contract is paid out within 12 months?</t>
        </is>
      </c>
      <c r="E34" s="58" t="inlineStr">
        <is>
          <t>v4: gpt-4o-mini + union retrieval (lender OR lender+intent)</t>
        </is>
      </c>
      <c r="F34" s="58" t="inlineStr">
        <is>
          <t>If a contract is terminated or paid in full within **12 months**, 100% of all commissions and incentives will be refunded to BFS (chunk_id: bfs_fees_and_commission).</t>
        </is>
      </c>
      <c r="G34" s="59" t="inlineStr">
        <is>
          <t>bfs_fees_and_commission</t>
        </is>
      </c>
      <c r="H34" s="60" t="n">
        <v>1.11</v>
      </c>
      <c r="I34" s="61" t="n">
        <v>2211</v>
      </c>
      <c r="J34" s="62" t="n">
        <v>0.000349</v>
      </c>
    </row>
    <row r="35" ht="15" customHeight="1" s="44">
      <c r="A35" s="56" t="inlineStr">
        <is>
          <t>BFS-09</t>
        </is>
      </c>
      <c r="B35" s="63" t="inlineStr">
        <is>
          <t>BFS</t>
        </is>
      </c>
      <c r="C35" s="56" t="inlineStr">
        <is>
          <t>ELIGIBILITY</t>
        </is>
      </c>
      <c r="D35" s="56" t="inlineStr">
        <is>
          <t>What are BFS's auto-decline triggers?</t>
        </is>
      </c>
      <c r="E35" s="58" t="inlineStr">
        <is>
          <t>v4: gpt-4o-mini + union retrieval (lender OR lender+intent)</t>
        </is>
      </c>
      <c r="F35" s="58" t="inlineStr">
        <is>
          <t>BFS's auto-decline triggers are as follows:
1. All individuals and guarantors with a CCR score less than 400 (for both consumer and commercial new/demo) (chunk_id: bfs_customer_tiers).
2. All individuals and guarantors with a CCR score less than 550 (for commercial used) (chunk_id: bfs_customer_tiers).
3. Currently bankrupt individuals (chunk_id: bfs_customer_tiers).
4. Consumer net monthly income less than $2,318 (chunk_id: bfs_customer_tiers).</t>
        </is>
      </c>
      <c r="G35" s="59" t="inlineStr">
        <is>
          <t>bfs_customer_tiers</t>
        </is>
      </c>
      <c r="H35" s="60" t="n">
        <v>2.46</v>
      </c>
      <c r="I35" s="61" t="n">
        <v>2269</v>
      </c>
      <c r="J35" s="62" t="n">
        <v>0.000389</v>
      </c>
    </row>
    <row r="36" ht="15" customHeight="1" s="44">
      <c r="A36" s="56" t="inlineStr">
        <is>
          <t>BFS-10</t>
        </is>
      </c>
      <c r="B36" s="63" t="inlineStr">
        <is>
          <t>BFS</t>
        </is>
      </c>
      <c r="C36" s="56" t="inlineStr">
        <is>
          <t>LOAN_LIMITS</t>
        </is>
      </c>
      <c r="D36" s="56" t="inlineStr">
        <is>
          <t>What is BFS's high-value loan range and who can access it?</t>
        </is>
      </c>
      <c r="E36" s="58" t="inlineStr">
        <is>
          <t>v4: gpt-4o-mini + union retrieval (lender OR lender+intent)</t>
        </is>
      </c>
      <c r="F36" s="58" t="inlineStr">
        <is>
          <t>BFS's high-value loan range is **$250,000–$400,000**, available only to **Ultra Prime–Tier 2** borrowers. This is assessed on a case-by-case basis, with a minimum deposit of 20% required, and it is restricted to asset-backed applicants only. 
This information comes from chunk_id **bfs_loan_limits_terms**.</t>
        </is>
      </c>
      <c r="G36" s="59" t="inlineStr">
        <is>
          <t>bfs_loan_limits_terms</t>
        </is>
      </c>
      <c r="H36" s="60" t="n">
        <v>1.57</v>
      </c>
      <c r="I36" s="61" t="n">
        <v>2112</v>
      </c>
      <c r="J36" s="62" t="n">
        <v>0.000352</v>
      </c>
    </row>
    <row r="37" ht="23.85" customHeight="1" s="44">
      <c r="A37" s="56" t="inlineStr">
        <is>
          <t>BFS-11</t>
        </is>
      </c>
      <c r="B37" s="63" t="inlineStr">
        <is>
          <t>BFS</t>
        </is>
      </c>
      <c r="C37" s="56" t="inlineStr">
        <is>
          <t>PRICING</t>
        </is>
      </c>
      <c r="D37" s="56" t="inlineStr">
        <is>
          <t>What is BFS's consumer maximum rate for a new/demo vehicle under Ultra Prime?</t>
        </is>
      </c>
      <c r="E37" s="58" t="inlineStr">
        <is>
          <t>v4: gpt-4o-mini + union retrieval (lender OR lender+intent)</t>
        </is>
      </c>
      <c r="F37" s="58" t="inlineStr">
        <is>
          <t>The BFS consumer maximum rate for a new/demo vehicle under Ultra Prime is **9.15%** (chunk_id: bfs_consumer_rates).</t>
        </is>
      </c>
      <c r="G37" s="59" t="inlineStr">
        <is>
          <t>bfs_consumer_rates</t>
        </is>
      </c>
      <c r="H37" s="60" t="n">
        <v>1.13</v>
      </c>
      <c r="I37" s="61" t="n">
        <v>1947</v>
      </c>
      <c r="J37" s="62" t="n">
        <v>0.000305</v>
      </c>
    </row>
    <row r="38" ht="23.85" customHeight="1" s="44">
      <c r="A38" s="56" t="inlineStr">
        <is>
          <t>BFS-12</t>
        </is>
      </c>
      <c r="B38" s="63" t="inlineStr">
        <is>
          <t>BFS</t>
        </is>
      </c>
      <c r="C38" s="56" t="inlineStr">
        <is>
          <t>PRICING</t>
        </is>
      </c>
      <c r="D38" s="56" t="inlineStr">
        <is>
          <t>What non-asset-backed loading applies to BFS commercial deals, and does it apply to Ultra Prime?</t>
        </is>
      </c>
      <c r="E38" s="58" t="inlineStr">
        <is>
          <t>v4: gpt-4o-mini + union retrieval (lender OR lender+intent)</t>
        </is>
      </c>
      <c r="F38" s="58" t="inlineStr">
        <is>
          <t>The non-asset-backed loading that applies to BFS commercial deals is **+1.85%** (chunk_id: bfs_commercial_rates). This loading does not apply to the Ultra Prime rate (chunk_id: bfs_commercial_rates).</t>
        </is>
      </c>
      <c r="G38" s="59" t="inlineStr">
        <is>
          <t>bfs_commercial_rates</t>
        </is>
      </c>
      <c r="H38" s="60" t="n">
        <v>1.4</v>
      </c>
      <c r="I38" s="61" t="n">
        <v>1824</v>
      </c>
      <c r="J38" s="62" t="n">
        <v>0.000295</v>
      </c>
    </row>
    <row r="39" ht="15" customHeight="1" s="44">
      <c r="A39" s="56" t="inlineStr">
        <is>
          <t>BFS-13</t>
        </is>
      </c>
      <c r="B39" s="63" t="inlineStr">
        <is>
          <t>BFS</t>
        </is>
      </c>
      <c r="C39" s="56" t="inlineStr">
        <is>
          <t>FEES</t>
        </is>
      </c>
      <c r="D39" s="56" t="inlineStr">
        <is>
          <t>What is BFS's establishment fee for a commercial loan?</t>
        </is>
      </c>
      <c r="E39" s="58" t="inlineStr">
        <is>
          <t>v4: gpt-4o-mini + union retrieval (lender OR lender+intent)</t>
        </is>
      </c>
      <c r="F39" s="58" t="inlineStr">
        <is>
          <t>The establishment fee for a commercial loan at BFS is $575. If it is a commercial private sale, the establishment fee is $675. (Chunk ID: bfs_fees_and_commission)</t>
        </is>
      </c>
      <c r="G39" s="59" t="inlineStr">
        <is>
          <t>bfs_fees_and_commission</t>
        </is>
      </c>
      <c r="H39" s="60" t="n">
        <v>1.21</v>
      </c>
      <c r="I39" s="61" t="n">
        <v>1996</v>
      </c>
      <c r="J39" s="62" t="n">
        <v>0.000317</v>
      </c>
    </row>
    <row r="40" ht="23.85" customHeight="1" s="44">
      <c r="A40" s="56" t="inlineStr">
        <is>
          <t>BFS-14</t>
        </is>
      </c>
      <c r="B40" s="63" t="inlineStr">
        <is>
          <t>BFS</t>
        </is>
      </c>
      <c r="C40" s="56" t="inlineStr">
        <is>
          <t>ASSET_ELIGIBILITY</t>
        </is>
      </c>
      <c r="D40" s="56" t="inlineStr">
        <is>
          <t>What conditions apply to financing an electric motorcycle at BFS?</t>
        </is>
      </c>
      <c r="E40" s="58" t="inlineStr">
        <is>
          <t>v4: gpt-4o-mini + union retrieval (lender OR lender+intent)</t>
        </is>
      </c>
      <c r="F40" s="58" t="inlineStr">
        <is>
          <t>To finance an electric motorcycle at BFS, the following conditions apply:
1. The motorcycle must be registered and have on-road capabilities (2, 3, or 4 wheels). [chunk_id: bfs_vehicle_types]
2. The maximum speed of the electric motorcycle must be greater than 80 km/h. [chunk_id: bfs_vehicle_types]
3. An invoice must be provided upfront for the asset to be loaded in QuickSell. [chunk_id: bfs_vehicle_types]
4. An independent valuation may be required for private sales. [chunk_id: bfs_vehicle_types]
5. The maximum loan term for motorcycles is 60 months, and no balloon payments are allowed. [chunk_id: bfs_vehicle_types]</t>
        </is>
      </c>
      <c r="G40" s="59" t="inlineStr">
        <is>
          <t>bfs_vehicle_types</t>
        </is>
      </c>
      <c r="H40" s="60" t="n">
        <v>1.9</v>
      </c>
      <c r="I40" s="61" t="n">
        <v>1966</v>
      </c>
      <c r="J40" s="62" t="n">
        <v>0.00036</v>
      </c>
    </row>
    <row r="41" ht="23.85" customHeight="1" s="44">
      <c r="A41" s="56" t="inlineStr">
        <is>
          <t>BFS-15</t>
        </is>
      </c>
      <c r="B41" s="63" t="inlineStr">
        <is>
          <t>BFS</t>
        </is>
      </c>
      <c r="C41" s="56" t="inlineStr">
        <is>
          <t>DOCUMENTATION</t>
        </is>
      </c>
      <c r="D41" s="56" t="inlineStr">
        <is>
          <t>What is the maximum loan under BFS's New Business Ventures documentation type?</t>
        </is>
      </c>
      <c r="E41" s="58" t="inlineStr">
        <is>
          <t>v4: gpt-4o-mini + union retrieval (lender OR lender+intent)</t>
        </is>
      </c>
      <c r="F41" s="58" t="inlineStr">
        <is>
          <t>The maximum loan size under BFS's New Business Ventures documentation type is **$100,000** (chunk_id: bfs_commercial_documentation).</t>
        </is>
      </c>
      <c r="G41" s="59" t="inlineStr">
        <is>
          <t>bfs_commercial_documentation</t>
        </is>
      </c>
      <c r="H41" s="60" t="n">
        <v>1.29</v>
      </c>
      <c r="I41" s="61" t="n">
        <v>2166</v>
      </c>
      <c r="J41" s="62" t="n">
        <v>0.000338</v>
      </c>
    </row>
    <row r="42" ht="15" customHeight="1" s="44">
      <c r="A42" s="56" t="inlineStr">
        <is>
          <t>BFS-16</t>
        </is>
      </c>
      <c r="B42" s="63" t="inlineStr">
        <is>
          <t>BFS</t>
        </is>
      </c>
      <c r="C42" s="56" t="inlineStr">
        <is>
          <t>ELIGIBILITY</t>
        </is>
      </c>
      <c r="D42" s="56" t="inlineStr">
        <is>
          <t>What credit bureau does BFS use to assess applicants?</t>
        </is>
      </c>
      <c r="E42" s="58" t="inlineStr">
        <is>
          <t>v4: gpt-4o-mini + union retrieval (lender OR lender+intent)</t>
        </is>
      </c>
      <c r="F42" s="58" t="inlineStr">
        <is>
          <t>BFS uses Experian CCR score of the primary borrower or guarantor to assess applicants (chunk_id: bfs_customer_tiers).</t>
        </is>
      </c>
      <c r="G42" s="59" t="inlineStr">
        <is>
          <t>bfs_customer_tiers</t>
        </is>
      </c>
      <c r="H42" s="60" t="n">
        <v>1.61</v>
      </c>
      <c r="I42" s="61" t="n">
        <v>2276</v>
      </c>
      <c r="J42" s="62" t="n">
        <v>0.000353</v>
      </c>
    </row>
    <row r="43" ht="15" customHeight="1" s="44">
      <c r="A43" s="56" t="inlineStr">
        <is>
          <t>BFS-17</t>
        </is>
      </c>
      <c r="B43" s="63" t="inlineStr">
        <is>
          <t>BFS</t>
        </is>
      </c>
      <c r="C43" s="56" t="inlineStr">
        <is>
          <t>LOAN_LIMITS</t>
        </is>
      </c>
      <c r="D43" s="56" t="inlineStr">
        <is>
          <t>What is the maximum loan under BFS Plus?</t>
        </is>
      </c>
      <c r="E43" s="58" t="inlineStr">
        <is>
          <t>v4: gpt-4o-mini + union retrieval (lender OR lender+intent)</t>
        </is>
      </c>
      <c r="F43" s="58" t="inlineStr">
        <is>
          <t>The maximum loan under BFS Plus is **$100,000**. This information comes from chunk_id [Source: bfs_loan_limits_terms | Lender: BFS].</t>
        </is>
      </c>
      <c r="G43" s="59" t="inlineStr">
        <is>
          <t>bfs_loan_limits_terms</t>
        </is>
      </c>
      <c r="H43" s="60" t="n">
        <v>1.04</v>
      </c>
      <c r="I43" s="61" t="n">
        <v>2063</v>
      </c>
      <c r="J43" s="62" t="n">
        <v>0.000325</v>
      </c>
    </row>
    <row r="44" ht="23.85" customHeight="1" s="44">
      <c r="A44" s="56" t="inlineStr">
        <is>
          <t>BFS-18</t>
        </is>
      </c>
      <c r="B44" s="63" t="inlineStr">
        <is>
          <t>BFS</t>
        </is>
      </c>
      <c r="C44" s="56" t="inlineStr">
        <is>
          <t>DOCUMENTATION</t>
        </is>
      </c>
      <c r="D44" s="56" t="inlineStr">
        <is>
          <t>How does BFS assess a board expense for a consumer applicant?</t>
        </is>
      </c>
      <c r="E44" s="58" t="inlineStr">
        <is>
          <t>v4: gpt-4o-mini + union retrieval (lender OR lender+intent)</t>
        </is>
      </c>
      <c r="F44" s="58" t="inlineStr">
        <is>
          <t>BFS assesses a board expense for a consumer applicant by applying the higher of the declared expense or $400 per month. This information comes from chunk_id [Source: bfs_consumer_documentation].</t>
        </is>
      </c>
      <c r="G44" s="59" t="inlineStr">
        <is>
          <t>bfs_consumer_documentation</t>
        </is>
      </c>
      <c r="H44" s="60" t="n">
        <v>1.26</v>
      </c>
      <c r="I44" s="61" t="n">
        <v>2199</v>
      </c>
      <c r="J44" s="62" t="n">
        <v>0.000347</v>
      </c>
    </row>
    <row r="45" ht="15" customHeight="1" s="44">
      <c r="A45" s="56" t="inlineStr">
        <is>
          <t>BFS-19</t>
        </is>
      </c>
      <c r="B45" s="63" t="inlineStr">
        <is>
          <t>BFS</t>
        </is>
      </c>
      <c r="C45" s="56" t="inlineStr">
        <is>
          <t>PRICING</t>
        </is>
      </c>
      <c r="D45" s="56" t="inlineStr">
        <is>
          <t>What is BFS's maximum rate cap across all tiers?</t>
        </is>
      </c>
      <c r="E45" s="58" t="inlineStr">
        <is>
          <t>v4: gpt-4o-mini + union retrieval (lender OR lender+intent)</t>
        </is>
      </c>
      <c r="F45" s="58" t="inlineStr">
        <is>
          <t>BFS's maximum rate cap across all tiers is **17.15%**. (Source: bfs_commercial_rates, chunk_id: 1)</t>
        </is>
      </c>
      <c r="G45" s="59" t="inlineStr">
        <is>
          <t>bfs_commercial_rates</t>
        </is>
      </c>
      <c r="H45" s="60" t="n">
        <v>0.88</v>
      </c>
      <c r="I45" s="61" t="n">
        <v>2233</v>
      </c>
      <c r="J45" s="62" t="n">
        <v>0.000349</v>
      </c>
    </row>
    <row r="46" ht="23.85" customHeight="1" s="44">
      <c r="A46" s="56" t="inlineStr">
        <is>
          <t>BFS-20</t>
        </is>
      </c>
      <c r="B46" s="63" t="inlineStr">
        <is>
          <t>BFS</t>
        </is>
      </c>
      <c r="C46" s="56" t="inlineStr">
        <is>
          <t>ASSET_ELIGIBILITY</t>
        </is>
      </c>
      <c r="D46" s="56" t="inlineStr">
        <is>
          <t>What is the maximum loan size for a BFS private sale?</t>
        </is>
      </c>
      <c r="E46" s="58" t="inlineStr">
        <is>
          <t>v4: gpt-4o-mini + union retrieval (lender OR lender+intent)</t>
        </is>
      </c>
      <c r="F46" s="58" t="inlineStr">
        <is>
          <t>The maximum loan size for a BFS private sale is $150,000 (source: bfs_loan_limits_terms, chunk_id: bfs_loan_limits_terms).</t>
        </is>
      </c>
      <c r="G46" s="59" t="inlineStr">
        <is>
          <t>bfs_private_sales</t>
        </is>
      </c>
      <c r="H46" s="60" t="n">
        <v>2.11</v>
      </c>
      <c r="I46" s="61" t="n">
        <v>1972</v>
      </c>
      <c r="J46" s="62" t="n">
        <v>0.00031</v>
      </c>
    </row>
    <row r="47" ht="23.85" customHeight="1" s="44">
      <c r="A47" s="56" t="inlineStr">
        <is>
          <t>BFS-21</t>
        </is>
      </c>
      <c r="B47" s="63" t="inlineStr">
        <is>
          <t>BFS</t>
        </is>
      </c>
      <c r="C47" s="56" t="inlineStr">
        <is>
          <t>ELIGIBILITY</t>
        </is>
      </c>
      <c r="D47" s="56" t="inlineStr">
        <is>
          <t>Does BFS lend to individual consumers for personal-use vehicles?</t>
        </is>
      </c>
      <c r="E47" s="58" t="inlineStr">
        <is>
          <t>v4: gpt-4o-mini + union retrieval (lender OR lender+intent)</t>
        </is>
      </c>
      <c r="F47" s="58" t="inlineStr">
        <is>
          <t>Yes, BFS lends to individual consumers for personal-use vehicles. This is stated in the excerpt from the bfs_consumer_documentation, which specifies that "Consumer loans are for individuals where the vehicle is for personal use (not business use)" (chunk_id: bfs_consumer_documentation).</t>
        </is>
      </c>
      <c r="G47" s="59" t="inlineStr">
        <is>
          <t>bfs_consumer_rates</t>
        </is>
      </c>
      <c r="H47" s="60" t="n">
        <v>2.65</v>
      </c>
      <c r="I47" s="61" t="n">
        <v>2168</v>
      </c>
      <c r="J47" s="62" t="n">
        <v>0.000351</v>
      </c>
    </row>
    <row r="48" ht="23.85" customHeight="1" s="44">
      <c r="A48" s="56" t="inlineStr">
        <is>
          <t>BFS-22</t>
        </is>
      </c>
      <c r="B48" s="63" t="inlineStr">
        <is>
          <t>BFS</t>
        </is>
      </c>
      <c r="C48" s="56" t="inlineStr">
        <is>
          <t>ASSET_ELIGIBILITY</t>
        </is>
      </c>
      <c r="D48" s="56" t="inlineStr">
        <is>
          <t>Can BFS finance a forklift or excavator?</t>
        </is>
      </c>
      <c r="E48" s="58" t="inlineStr">
        <is>
          <t>v4: gpt-4o-mini + union retrieval (lender OR lender+intent)</t>
        </is>
      </c>
      <c r="F48" s="58" t="inlineStr">
        <is>
          <t>This information is not available in the provided policy documents.</t>
        </is>
      </c>
      <c r="G48" s="59" t="inlineStr">
        <is>
          <t>bfs_vehicle_types</t>
        </is>
      </c>
      <c r="H48" s="60" t="n">
        <v>0.79</v>
      </c>
      <c r="I48" s="61" t="n">
        <v>2413</v>
      </c>
      <c r="J48" s="62" t="n">
        <v>0.000367</v>
      </c>
    </row>
    <row r="49" ht="15" customHeight="1" s="44">
      <c r="A49" s="56" t="inlineStr">
        <is>
          <t>BFS-23</t>
        </is>
      </c>
      <c r="B49" s="63" t="inlineStr">
        <is>
          <t>BFS</t>
        </is>
      </c>
      <c r="C49" s="56" t="inlineStr">
        <is>
          <t>LOAN_LIMITS</t>
        </is>
      </c>
      <c r="D49" s="56" t="inlineStr">
        <is>
          <t>What is BFS's maximum LVR for a no-deposit application?</t>
        </is>
      </c>
      <c r="E49" s="58" t="inlineStr">
        <is>
          <t>v4: gpt-4o-mini + union retrieval (lender OR lender+intent)</t>
        </is>
      </c>
      <c r="F49" s="58" t="inlineStr">
        <is>
          <t>The maximum LVR for a no-deposit application is **120%**. This information is from chunk_id [Source: bfs_loan_limits_terms | Lender: BFS].</t>
        </is>
      </c>
      <c r="G49" s="59" t="inlineStr">
        <is>
          <t>bfs_loan_limits_terms</t>
        </is>
      </c>
      <c r="H49" s="60" t="n">
        <v>1.09</v>
      </c>
      <c r="I49" s="61" t="n">
        <v>2210</v>
      </c>
      <c r="J49" s="62" t="n">
        <v>0.000348</v>
      </c>
    </row>
    <row r="50" ht="23.85" customHeight="1" s="44">
      <c r="A50" s="56" t="inlineStr">
        <is>
          <t>BFS-24</t>
        </is>
      </c>
      <c r="B50" s="63" t="inlineStr">
        <is>
          <t>BFS</t>
        </is>
      </c>
      <c r="C50" s="56" t="inlineStr">
        <is>
          <t>EXCLUSIONS</t>
        </is>
      </c>
      <c r="D50" s="56" t="inlineStr">
        <is>
          <t>Does BFS accept a driver's licence with an interlock condition?</t>
        </is>
      </c>
      <c r="E50" s="58" t="inlineStr">
        <is>
          <t>v4: gpt-4o-mini + union retrieval (lender OR lender+intent)</t>
        </is>
      </c>
      <c r="F50" s="58" t="inlineStr">
        <is>
          <t>BFS does **NOT** accept driver's licences with interlock conditions. (chunk_id: bfs_exclusions)</t>
        </is>
      </c>
      <c r="G50" s="59" t="inlineStr">
        <is>
          <t>bfs_exclusions</t>
        </is>
      </c>
      <c r="H50" s="60" t="n">
        <v>0.96</v>
      </c>
      <c r="I50" s="61" t="n">
        <v>2196</v>
      </c>
      <c r="J50" s="62" t="n">
        <v>0.000339</v>
      </c>
    </row>
    <row r="51" ht="23.85" customHeight="1" s="44">
      <c r="A51" s="56" t="inlineStr">
        <is>
          <t>BFS-25</t>
        </is>
      </c>
      <c r="B51" s="63" t="inlineStr">
        <is>
          <t>BFS</t>
        </is>
      </c>
      <c r="C51" s="56" t="inlineStr">
        <is>
          <t>PRICING</t>
        </is>
      </c>
      <c r="D51" s="56" t="inlineStr">
        <is>
          <t>What is BFS's commercial base rate for a Tier 4 used vehicle?</t>
        </is>
      </c>
      <c r="E51" s="58" t="inlineStr">
        <is>
          <t>v4: gpt-4o-mini + union retrieval (lender OR lender+intent)</t>
        </is>
      </c>
      <c r="F51" s="58" t="inlineStr">
        <is>
          <t>This information is not available in the provided policy documents.</t>
        </is>
      </c>
      <c r="G51" s="59" t="inlineStr">
        <is>
          <t>bfs_commercial_rates</t>
        </is>
      </c>
      <c r="H51" s="60" t="n">
        <v>0.85</v>
      </c>
      <c r="I51" s="61" t="n">
        <v>2192</v>
      </c>
      <c r="J51" s="62" t="n">
        <v>0.000334</v>
      </c>
    </row>
    <row r="52" ht="23.85" customHeight="1" s="44">
      <c r="A52" s="56" t="inlineStr">
        <is>
          <t>WBC-01</t>
        </is>
      </c>
      <c r="B52" s="64" t="inlineStr">
        <is>
          <t>Westpac</t>
        </is>
      </c>
      <c r="C52" s="56" t="inlineStr">
        <is>
          <t>ELIGIBILITY</t>
        </is>
      </c>
      <c r="D52" s="56" t="inlineStr">
        <is>
          <t>What is the maximum DriveXpress loan for a new-to-bank Westpac customer?</t>
        </is>
      </c>
      <c r="E52" s="58" t="inlineStr">
        <is>
          <t>v4: gpt-4o-mini + union retrieval (lender OR lender+intent)</t>
        </is>
      </c>
      <c r="F52" s="58" t="inlineStr">
        <is>
          <t>The maximum DriveXpress loan for a new-to-bank Westpac customer is $150,000. This information comes from chunk_id [westpac_drivexpress].</t>
        </is>
      </c>
      <c r="G52" s="59" t="inlineStr">
        <is>
          <t>westpac_drivexpress</t>
        </is>
      </c>
      <c r="H52" s="60" t="n">
        <v>1.15</v>
      </c>
      <c r="I52" s="61" t="n">
        <v>2234</v>
      </c>
      <c r="J52" s="62" t="n">
        <v>0.00035</v>
      </c>
    </row>
    <row r="53" ht="23.85" customHeight="1" s="44">
      <c r="A53" s="56" t="inlineStr">
        <is>
          <t>WBC-02</t>
        </is>
      </c>
      <c r="B53" s="64" t="inlineStr">
        <is>
          <t>Westpac</t>
        </is>
      </c>
      <c r="C53" s="56" t="inlineStr">
        <is>
          <t>LOAN_LIMITS</t>
        </is>
      </c>
      <c r="D53" s="56" t="inlineStr">
        <is>
          <t>What are the DriveXpress limits for an existing Westpac client by asset category?</t>
        </is>
      </c>
      <c r="E53" s="58" t="inlineStr">
        <is>
          <t>v4: gpt-4o-mini + union retrieval (lender OR lender+intent)</t>
        </is>
      </c>
      <c r="F53" s="58" t="inlineStr">
        <is>
          <t>For an existing Westpac client, the DriveXpress limits by asset category are as follows:
- **Category A**: Maximum loan of $200k, eligible goods include MV cars (not taxi/hire/import/exotic; price ≤ $250k) and light commercial vehicles &lt; 4.5T GVM. (chunk_id: westpac_drivexpress)
- **Category B**: Maximum loan of $300k, eligible goods include trucks &gt; 4.5T, forklifts, telehandlers, boom/scissor/spider lifts, trailers, excavators, skid steers/wheel loaders, mobile/tight access cranes, backhoe loaders, graders, scrapers, dozers, rollers. (chunk_id: westpac_drivexpress)
- **Category C**: Maximum loan of $500k, eligible goods include tractors, headers, harvesters, cotton pickers, balers, mower conditioners, ploughs, seeders, sprayers, spreaders, all-terrain vehicles, feed wagons. (chunk_id: westpac_drivexpress) 
Additionally, the maximum DriveXpress exposure for existing clients is $750k. (chunk_id: westpac_drivexpress)</t>
        </is>
      </c>
      <c r="G53" s="59" t="inlineStr">
        <is>
          <t>westpac_drivexpress</t>
        </is>
      </c>
      <c r="H53" s="60" t="n">
        <v>4.17</v>
      </c>
      <c r="I53" s="61" t="n">
        <v>2311</v>
      </c>
      <c r="J53" s="62" t="n">
        <v>0.000457</v>
      </c>
    </row>
    <row r="54" ht="23.85" customHeight="1" s="44">
      <c r="A54" s="56" t="inlineStr">
        <is>
          <t>WBC-03</t>
        </is>
      </c>
      <c r="B54" s="64" t="inlineStr">
        <is>
          <t>Westpac</t>
        </is>
      </c>
      <c r="C54" s="56" t="inlineStr">
        <is>
          <t>PRICING</t>
        </is>
      </c>
      <c r="D54" s="56" t="inlineStr">
        <is>
          <t>What is Westpac's Xpress rate for a dealer-sourced car on a 36-month term, and how are EVs treated?</t>
        </is>
      </c>
      <c r="E54" s="58" t="inlineStr">
        <is>
          <t>v4: gpt-4o-mini + union retrieval (lender OR lender+intent)</t>
        </is>
      </c>
      <c r="F54" s="58" t="inlineStr">
        <is>
          <t>The Xpress rate for a dealer-sourced car on a 36-month term is **7.75%** (chunk_id: westpac_xpress_rates). Additionally, electric vehicles receive a discount of **–1%** on the applicable rate (chunk_id: westpac_xpress_rates), which would reduce the rate for an EV to **6.75%**.</t>
        </is>
      </c>
      <c r="G54" s="59" t="inlineStr">
        <is>
          <t>westpac_xpress_rates</t>
        </is>
      </c>
      <c r="H54" s="60" t="n">
        <v>2.34</v>
      </c>
      <c r="I54" s="61" t="n">
        <v>2735</v>
      </c>
      <c r="J54" s="62" t="n">
        <v>0.000444</v>
      </c>
    </row>
    <row r="55" ht="35.05" customHeight="1" s="44">
      <c r="A55" s="56" t="inlineStr">
        <is>
          <t>WBC-04</t>
        </is>
      </c>
      <c r="B55" s="64" t="inlineStr">
        <is>
          <t>Westpac</t>
        </is>
      </c>
      <c r="C55" s="56" t="inlineStr">
        <is>
          <t>SPECIAL_PROGRAMS</t>
        </is>
      </c>
      <c r="D55" s="56" t="inlineStr">
        <is>
          <t>Under Westpac's Medical channel, what is the motor vehicle limit for a medical specialist versus an allied health practitioner?</t>
        </is>
      </c>
      <c r="E55" s="58" t="inlineStr">
        <is>
          <t>v4: gpt-4o-mini + union retrieval (lender OR lender+intent)</t>
        </is>
      </c>
      <c r="F55" s="58" t="inlineStr">
        <is>
          <t>Under Westpac's Medical channel, the motor vehicle limit for a medical specialist or GP is less than $250,000 (chunk_id: westpac_medical). For an allied health practitioner, the limit is less than $150,000 (chunk_id: westpac_medical).</t>
        </is>
      </c>
      <c r="G55" s="59" t="inlineStr">
        <is>
          <t>westpac_medical</t>
        </is>
      </c>
      <c r="H55" s="60" t="n">
        <v>1.1</v>
      </c>
      <c r="I55" s="61" t="n">
        <v>2574</v>
      </c>
      <c r="J55" s="62" t="n">
        <v>0.000412</v>
      </c>
    </row>
    <row r="56" ht="23.85" customHeight="1" s="44">
      <c r="A56" s="56" t="inlineStr">
        <is>
          <t>WBC-05</t>
        </is>
      </c>
      <c r="B56" s="64" t="inlineStr">
        <is>
          <t>Westpac</t>
        </is>
      </c>
      <c r="C56" s="56" t="inlineStr">
        <is>
          <t>SPECIAL_PROGRAMS</t>
        </is>
      </c>
      <c r="D56" s="56" t="inlineStr">
        <is>
          <t>Are pharmacists eligible under Westpac's Medical channel?</t>
        </is>
      </c>
      <c r="E56" s="58" t="inlineStr">
        <is>
          <t>v4: gpt-4o-mini + union retrieval (lender OR lender+intent)</t>
        </is>
      </c>
      <c r="F56" s="58" t="inlineStr">
        <is>
          <t>Pharmacists are **excluded** from eligibility under Westpac's Medical channel. This fact is sourced from chunk_id: **westpac_medical**.</t>
        </is>
      </c>
      <c r="G56" s="59" t="inlineStr">
        <is>
          <t>westpac_medical</t>
        </is>
      </c>
      <c r="H56" s="60" t="n">
        <v>1.01</v>
      </c>
      <c r="I56" s="61" t="n">
        <v>1886</v>
      </c>
      <c r="J56" s="62" t="n">
        <v>0.000297</v>
      </c>
    </row>
    <row r="57" ht="23.85" customHeight="1" s="44">
      <c r="A57" s="56" t="inlineStr">
        <is>
          <t>WBC-06</t>
        </is>
      </c>
      <c r="B57" s="64" t="inlineStr">
        <is>
          <t>Westpac</t>
        </is>
      </c>
      <c r="C57" s="56" t="inlineStr">
        <is>
          <t>SPECIAL_PROGRAMS</t>
        </is>
      </c>
      <c r="D57" s="56" t="inlineStr">
        <is>
          <t>What is the maximum Rollover loan if the original funder is not Westpac?</t>
        </is>
      </c>
      <c r="E57" s="58" t="inlineStr">
        <is>
          <t>v4: gpt-4o-mini + union retrieval (lender OR lender+intent)</t>
        </is>
      </c>
      <c r="F57" s="58" t="inlineStr">
        <is>
          <t>The maximum Rollover loan if the original funder is not Westpac is $250k, and the eligible goods are categories A &amp; B (refer to DriveXpress) (chunk_id: westpac_rollover).</t>
        </is>
      </c>
      <c r="G57" s="59" t="inlineStr">
        <is>
          <t>westpac_rollover</t>
        </is>
      </c>
      <c r="H57" s="60" t="n">
        <v>1.54</v>
      </c>
      <c r="I57" s="61" t="n">
        <v>2557</v>
      </c>
      <c r="J57" s="62" t="n">
        <v>0.000404</v>
      </c>
    </row>
    <row r="58" ht="35.05" customHeight="1" s="44">
      <c r="A58" s="56" t="inlineStr">
        <is>
          <t>WBC-07</t>
        </is>
      </c>
      <c r="B58" s="64" t="inlineStr">
        <is>
          <t>Westpac</t>
        </is>
      </c>
      <c r="C58" s="56" t="inlineStr">
        <is>
          <t>SPECIAL_PROGRAMS</t>
        </is>
      </c>
      <c r="D58" s="56" t="inlineStr">
        <is>
          <t>Under Westpac's Replacement channel, what repayment increase is allowed for a new-to-bank versus existing customer?</t>
        </is>
      </c>
      <c r="E58" s="58" t="inlineStr">
        <is>
          <t>v4: gpt-4o-mini + union retrieval (lender OR lender+intent)</t>
        </is>
      </c>
      <c r="F58" s="58" t="inlineStr">
        <is>
          <t>Under Westpac's Replacement channel, the repayment increase allowed for a new-to-bank customer is within **125% of the payment being replaced** (chunk_id: westpac_replacement). For an existing customer, the repayment increase allowed is within **150% of the payment being replaced** (chunk_id: westpac_replacement).</t>
        </is>
      </c>
      <c r="G58" s="59" t="inlineStr">
        <is>
          <t>westpac_replacement</t>
        </is>
      </c>
      <c r="H58" s="60" t="n">
        <v>1.44</v>
      </c>
      <c r="I58" s="61" t="n">
        <v>2739</v>
      </c>
      <c r="J58" s="62" t="n">
        <v>0.000441</v>
      </c>
    </row>
    <row r="59" ht="23.85" customHeight="1" s="44">
      <c r="A59" s="56" t="inlineStr">
        <is>
          <t>WBC-08</t>
        </is>
      </c>
      <c r="B59" s="64" t="inlineStr">
        <is>
          <t>Westpac</t>
        </is>
      </c>
      <c r="C59" s="56" t="inlineStr">
        <is>
          <t>SETTLEMENT</t>
        </is>
      </c>
      <c r="D59" s="56" t="inlineStr">
        <is>
          <t>When is a PPSR company search no longer required under Westpac's updated settlement rules?</t>
        </is>
      </c>
      <c r="E59" s="58" t="inlineStr">
        <is>
          <t>v4: gpt-4o-mini + union retrieval (lender OR lender+intent)</t>
        </is>
      </c>
      <c r="F59" s="58" t="inlineStr">
        <is>
          <t>A PPSR company search is no longer required when the financed asset is a motor vehicle with a VIN and the sale is a buyback or private sale. This information is from chunk_id: westpac_settlement.</t>
        </is>
      </c>
      <c r="G59" s="59" t="inlineStr">
        <is>
          <t>westpac_settlement</t>
        </is>
      </c>
      <c r="H59" s="60" t="n">
        <v>1.55</v>
      </c>
      <c r="I59" s="61" t="n">
        <v>1874</v>
      </c>
      <c r="J59" s="62" t="n">
        <v>0.0003</v>
      </c>
    </row>
    <row r="60" ht="23.85" customHeight="1" s="44">
      <c r="A60" s="56" t="inlineStr">
        <is>
          <t>WBC-09</t>
        </is>
      </c>
      <c r="B60" s="64" t="inlineStr">
        <is>
          <t>Westpac</t>
        </is>
      </c>
      <c r="C60" s="56" t="inlineStr">
        <is>
          <t>PRICING</t>
        </is>
      </c>
      <c r="D60" s="56" t="inlineStr">
        <is>
          <t>What loading applies to a used motor vehicle aged 4-10 years under Westpac's standard rates?</t>
        </is>
      </c>
      <c r="E60" s="58" t="inlineStr">
        <is>
          <t>v4: gpt-4o-mini + union retrieval (lender OR lender+intent)</t>
        </is>
      </c>
      <c r="F60" s="58" t="inlineStr">
        <is>
          <t>A used motor vehicle between 4 to 10 years old will have an additional loading of **0.75%** added to the applicable rate. This information comes from chunk_id "westpac_standard_rates."</t>
        </is>
      </c>
      <c r="G60" s="59" t="inlineStr">
        <is>
          <t>westpac_standard_rates</t>
        </is>
      </c>
      <c r="H60" s="60" t="n">
        <v>1.26</v>
      </c>
      <c r="I60" s="61" t="n">
        <v>2472</v>
      </c>
      <c r="J60" s="62" t="n">
        <v>0.00039</v>
      </c>
    </row>
    <row r="61" ht="23.85" customHeight="1" s="44">
      <c r="A61" s="56" t="inlineStr">
        <is>
          <t>WBC-10</t>
        </is>
      </c>
      <c r="B61" s="64" t="inlineStr">
        <is>
          <t>Westpac</t>
        </is>
      </c>
      <c r="C61" s="56" t="inlineStr">
        <is>
          <t>EXCLUSIONS</t>
        </is>
      </c>
      <c r="D61" s="56" t="inlineStr">
        <is>
          <t>For which asset categories does Westpac permit private sales?</t>
        </is>
      </c>
      <c r="E61" s="58" t="inlineStr">
        <is>
          <t>v4: gpt-4o-mini + union retrieval (lender OR lender+intent)</t>
        </is>
      </c>
      <c r="F61" s="58" t="inlineStr">
        <is>
          <t>Westpac permits private sales for **Category A assets only**, which include passenger cars and light commercial vehicles under 4.5T GVM. Private sales are not available for **Category B** (heavy equipment) or **Category C** (agriculture) assets. (Chunk ID: westpac_exclusions)</t>
        </is>
      </c>
      <c r="G61" s="59" t="inlineStr">
        <is>
          <t>westpac_exclusions</t>
        </is>
      </c>
      <c r="H61" s="60" t="n">
        <v>2.01</v>
      </c>
      <c r="I61" s="61" t="n">
        <v>2356</v>
      </c>
      <c r="J61" s="62" t="n">
        <v>0.000382</v>
      </c>
    </row>
    <row r="62" ht="23.85" customHeight="1" s="44">
      <c r="A62" s="56" t="inlineStr">
        <is>
          <t>WBC-11</t>
        </is>
      </c>
      <c r="B62" s="64" t="inlineStr">
        <is>
          <t>Westpac</t>
        </is>
      </c>
      <c r="C62" s="56" t="inlineStr">
        <is>
          <t>PRICING</t>
        </is>
      </c>
      <c r="D62" s="56" t="inlineStr">
        <is>
          <t>What is Westpac's Xpress rate for heavy equipment (e.g. an excavator) from a licensed dealer?</t>
        </is>
      </c>
      <c r="E62" s="58" t="inlineStr">
        <is>
          <t>v4: gpt-4o-mini + union retrieval (lender OR lender+intent)</t>
        </is>
      </c>
      <c r="F62" s="58" t="inlineStr">
        <is>
          <t>The Xpress rate for heavy equipment (such as an excavator) from a licensed dealer is **8.17%** for 24, 36, or 48 months and **8.37%** for 60 months. This information is from chunk_id **westpac_xpress_rates**.</t>
        </is>
      </c>
      <c r="G62" s="59" t="inlineStr">
        <is>
          <t>westpac_xpress_rates</t>
        </is>
      </c>
      <c r="H62" s="60" t="n">
        <v>1.84</v>
      </c>
      <c r="I62" s="61" t="n">
        <v>2591</v>
      </c>
      <c r="J62" s="62" t="n">
        <v>0.000417</v>
      </c>
    </row>
    <row r="63" ht="23.85" customHeight="1" s="44">
      <c r="A63" s="56" t="inlineStr">
        <is>
          <t>WBC-12</t>
        </is>
      </c>
      <c r="B63" s="64" t="inlineStr">
        <is>
          <t>Westpac</t>
        </is>
      </c>
      <c r="C63" s="56" t="inlineStr">
        <is>
          <t>ASSET_ELIGIBILITY</t>
        </is>
      </c>
      <c r="D63" s="56" t="inlineStr">
        <is>
          <t>What age limit applies to mobile cranes under Westpac's DriveXpress Category B?</t>
        </is>
      </c>
      <c r="E63" s="58" t="inlineStr">
        <is>
          <t>v4: gpt-4o-mini + union retrieval (lender OR lender+intent)</t>
        </is>
      </c>
      <c r="F63" s="58" t="inlineStr">
        <is>
          <t>The age limit for mobile cranes under Westpac's DriveXpress Category B is up to 5 years old (for standard cranes) and up to 3 years old for mobile/tight access cranes. This information is from chunk_id: [Source: westpac_drivexpress].</t>
        </is>
      </c>
      <c r="G63" s="59" t="inlineStr">
        <is>
          <t>westpac_drivexpress</t>
        </is>
      </c>
      <c r="H63" s="60" t="n">
        <v>1.84</v>
      </c>
      <c r="I63" s="61" t="n">
        <v>2579</v>
      </c>
      <c r="J63" s="62" t="n">
        <v>0.000412</v>
      </c>
    </row>
    <row r="64" ht="23.85" customHeight="1" s="44">
      <c r="A64" s="56" t="inlineStr">
        <is>
          <t>WBC-13</t>
        </is>
      </c>
      <c r="B64" s="64" t="inlineStr">
        <is>
          <t>Westpac</t>
        </is>
      </c>
      <c r="C64" s="56" t="inlineStr">
        <is>
          <t>SPECIAL_PROGRAMS</t>
        </is>
      </c>
      <c r="D64" s="56" t="inlineStr">
        <is>
          <t>What special Category C provision applies only under Westpac's Replacement channel?</t>
        </is>
      </c>
      <c r="E64" s="58" t="inlineStr">
        <is>
          <t>v4: gpt-4o-mini + union retrieval (lender OR lender+intent)</t>
        </is>
      </c>
      <c r="F64" s="58" t="inlineStr">
        <is>
          <t>The special Category C provision under Westpac's Replacement channel allows for financing of government, school, and local route buses that are up to 5 years old, with a maximum loan term of up to 10 years. (chunk_id: westpac_replacement)</t>
        </is>
      </c>
      <c r="G64" s="59" t="inlineStr">
        <is>
          <t>westpac_replacement</t>
        </is>
      </c>
      <c r="H64" s="60" t="n">
        <v>1.36</v>
      </c>
      <c r="I64" s="61" t="n">
        <v>1912</v>
      </c>
      <c r="J64" s="62" t="n">
        <v>0.000311</v>
      </c>
    </row>
    <row r="65" ht="23.85" customHeight="1" s="44">
      <c r="A65" s="56" t="inlineStr">
        <is>
          <t>WBC-14</t>
        </is>
      </c>
      <c r="B65" s="64" t="inlineStr">
        <is>
          <t>Westpac</t>
        </is>
      </c>
      <c r="C65" s="56" t="inlineStr">
        <is>
          <t>PRICING</t>
        </is>
      </c>
      <c r="D65" s="56" t="inlineStr">
        <is>
          <t>What is Westpac's standard rate for new plant and equipment financed at $50,000-$150,000 over a 24-36 month term?</t>
        </is>
      </c>
      <c r="E65" s="58" t="inlineStr">
        <is>
          <t>v4: gpt-4o-mini + union retrieval (lender OR lender+intent)</t>
        </is>
      </c>
      <c r="F65" s="58" t="inlineStr">
        <is>
          <t>The standard rate for new plant and equipment financed at $50,000-$150,000 over a 24-36 month term is **8.52%**. This information is from chunk_id: **westpac_standard_rates**.</t>
        </is>
      </c>
      <c r="G65" s="59" t="inlineStr">
        <is>
          <t>westpac_standard_rates</t>
        </is>
      </c>
      <c r="H65" s="60" t="n">
        <v>1.31</v>
      </c>
      <c r="I65" s="61" t="n">
        <v>2362</v>
      </c>
      <c r="J65" s="62" t="n">
        <v>0.000376</v>
      </c>
    </row>
    <row r="66" ht="23.85" customHeight="1" s="44">
      <c r="A66" s="56" t="inlineStr">
        <is>
          <t>WBC-15</t>
        </is>
      </c>
      <c r="B66" s="64" t="inlineStr">
        <is>
          <t>Westpac</t>
        </is>
      </c>
      <c r="C66" s="56" t="inlineStr">
        <is>
          <t>ELIGIBILITY</t>
        </is>
      </c>
      <c r="D66" s="56" t="inlineStr">
        <is>
          <t>What universal eligibility criteria apply across all Westpac WEF channels?</t>
        </is>
      </c>
      <c r="E66" s="58" t="inlineStr">
        <is>
          <t>v4: gpt-4o-mini + union retrieval (lender OR lender+intent)</t>
        </is>
      </c>
      <c r="F66" s="58" t="inlineStr">
        <is>
          <t>The universal eligibility criteria that apply across all Westpac WEF channels are as follows:
1. The borrower must have more than 2 years in business with a valid ABN and must currently be GST registered. (chunk_id: westpac_channels_overview)
2. Statutory lodgements and payments (such as tax, GST, and employee entitlements) must be up to date, with no payment arrangements in place. (chunk_id: westpac_channels_overview)
3. When financial data is not obtained, verbal confirmation of compliance is required. (chunk_id: westpac_channels_overview)
4. All directors must guarantee the loan and have satisfactory credit bureau reports. (chunk_id: westpac_channels_overview)
5. The borrower must sign an Affordability Declaration. (chunk_id: westpac_channels_overview)</t>
        </is>
      </c>
      <c r="G66" s="59" t="inlineStr">
        <is>
          <t>westpac_channels_overview</t>
        </is>
      </c>
      <c r="H66" s="60" t="n">
        <v>2.06</v>
      </c>
      <c r="I66" s="61" t="n">
        <v>2676</v>
      </c>
      <c r="J66" s="62" t="n">
        <v>0.000477</v>
      </c>
    </row>
    <row r="67" ht="23.85" customHeight="1" s="44">
      <c r="A67" s="56" t="inlineStr">
        <is>
          <t>WBC-16</t>
        </is>
      </c>
      <c r="B67" s="64" t="inlineStr">
        <is>
          <t>Westpac</t>
        </is>
      </c>
      <c r="C67" s="56" t="inlineStr">
        <is>
          <t>ELIGIBILITY</t>
        </is>
      </c>
      <c r="D67" s="56" t="inlineStr">
        <is>
          <t>How many specialist channels does Westpac Equipment Finance operate, and what are they?</t>
        </is>
      </c>
      <c r="E67" s="58" t="inlineStr">
        <is>
          <t>v4: gpt-4o-mini + union retrieval (lender OR lender+intent)</t>
        </is>
      </c>
      <c r="F67" s="58" t="inlineStr">
        <is>
          <t>This information is not available in the provided policy documents.</t>
        </is>
      </c>
      <c r="G67" s="59" t="inlineStr">
        <is>
          <t>westpac_channels_overview</t>
        </is>
      </c>
      <c r="H67" s="60" t="n">
        <v>1.13</v>
      </c>
      <c r="I67" s="61" t="n">
        <v>2963</v>
      </c>
      <c r="J67" s="62" t="n">
        <v>0.000449</v>
      </c>
    </row>
    <row r="68" ht="23.85" customHeight="1" s="44">
      <c r="A68" s="56" t="inlineStr">
        <is>
          <t>WBC-17</t>
        </is>
      </c>
      <c r="B68" s="64" t="inlineStr">
        <is>
          <t>Westpac</t>
        </is>
      </c>
      <c r="C68" s="56" t="inlineStr">
        <is>
          <t>LOAN_LIMITS</t>
        </is>
      </c>
      <c r="D68" s="56" t="inlineStr">
        <is>
          <t>What is the maximum DriveXpress exposure for an existing Westpac client?</t>
        </is>
      </c>
      <c r="E68" s="58" t="inlineStr">
        <is>
          <t>v4: gpt-4o-mini + union retrieval (lender OR lender+intent)</t>
        </is>
      </c>
      <c r="F68" s="58" t="inlineStr">
        <is>
          <t>The maximum DriveXpress exposure for an existing Westpac client is $750,000. This information comes from chunk_id westpac_drivexpress.</t>
        </is>
      </c>
      <c r="G68" s="59" t="inlineStr">
        <is>
          <t>westpac_drivexpress</t>
        </is>
      </c>
      <c r="H68" s="60" t="n">
        <v>2.76</v>
      </c>
      <c r="I68" s="61" t="n">
        <v>2228</v>
      </c>
      <c r="J68" s="62" t="n">
        <v>0.000348</v>
      </c>
    </row>
    <row r="69" ht="23.85" customHeight="1" s="44">
      <c r="A69" s="56" t="inlineStr">
        <is>
          <t>WBC-18</t>
        </is>
      </c>
      <c r="B69" s="64" t="inlineStr">
        <is>
          <t>Westpac</t>
        </is>
      </c>
      <c r="C69" s="56" t="inlineStr">
        <is>
          <t>SETTLEMENT</t>
        </is>
      </c>
      <c r="D69" s="56" t="inlineStr">
        <is>
          <t>What is the fleet-policy exemption for a Certificate of Currency at Westpac?</t>
        </is>
      </c>
      <c r="E69" s="58" t="inlineStr">
        <is>
          <t>v4: gpt-4o-mini + union retrieval (lender OR lender+intent)</t>
        </is>
      </c>
      <c r="F69" s="58" t="inlineStr">
        <is>
          <t>The fleet-policy exemption for a Certificate of Currency at Westpac is that where the CoC confirms the policy is a "fleet policy", there is no longer a requirement to include the specific asset VIN/serial number on the CoC. This applies to motor vehicles only and does not apply to any other asset types. (Chunk ID: westpac_settlement)</t>
        </is>
      </c>
      <c r="G69" s="59" t="inlineStr">
        <is>
          <t>westpac_settlement</t>
        </is>
      </c>
      <c r="H69" s="60" t="n">
        <v>2.43</v>
      </c>
      <c r="I69" s="61" t="n">
        <v>2030</v>
      </c>
      <c r="J69" s="62" t="n">
        <v>0.000337</v>
      </c>
    </row>
    <row r="70" ht="15" customHeight="1" s="44">
      <c r="A70" s="56" t="inlineStr">
        <is>
          <t>WBC-19</t>
        </is>
      </c>
      <c r="B70" s="64" t="inlineStr">
        <is>
          <t>Westpac</t>
        </is>
      </c>
      <c r="C70" s="56" t="inlineStr">
        <is>
          <t>PRICING</t>
        </is>
      </c>
      <c r="D70" s="56" t="inlineStr">
        <is>
          <t>What is the maximum brokerage on a Westpac Xpress deal?</t>
        </is>
      </c>
      <c r="E70" s="58" t="inlineStr">
        <is>
          <t>v4: gpt-4o-mini + union retrieval (lender OR lender+intent)</t>
        </is>
      </c>
      <c r="F70" s="58" t="inlineStr">
        <is>
          <t>The maximum brokerage on a Westpac Xpress deal is **3%**. (chunk_id: westpac_xpress_rates)</t>
        </is>
      </c>
      <c r="G70" s="59" t="inlineStr">
        <is>
          <t>westpac_xpress_rates</t>
        </is>
      </c>
      <c r="H70" s="60" t="n">
        <v>3.01</v>
      </c>
      <c r="I70" s="61" t="n">
        <v>2414</v>
      </c>
      <c r="J70" s="62" t="n">
        <v>0.000374</v>
      </c>
    </row>
    <row r="71" ht="23.85" customHeight="1" s="44">
      <c r="A71" s="56" t="inlineStr">
        <is>
          <t>WBC-20</t>
        </is>
      </c>
      <c r="B71" s="64" t="inlineStr">
        <is>
          <t>Westpac</t>
        </is>
      </c>
      <c r="C71" s="56" t="inlineStr">
        <is>
          <t>SPECIAL_PROGRAMS</t>
        </is>
      </c>
      <c r="D71" s="56" t="inlineStr">
        <is>
          <t>What is the new medical equipment limit for a specialist under Westpac's Medical channel?</t>
        </is>
      </c>
      <c r="E71" s="58" t="inlineStr">
        <is>
          <t>v4: gpt-4o-mini + union retrieval (lender OR lender+intent)</t>
        </is>
      </c>
      <c r="F71" s="58" t="inlineStr">
        <is>
          <t>The new medical equipment limit for a Medical Specialist under Westpac's Medical channel is less than $350,000. [Source: westpac_medical, chunk_id: 1]</t>
        </is>
      </c>
      <c r="G71" s="59" t="inlineStr">
        <is>
          <t>westpac_medical</t>
        </is>
      </c>
      <c r="H71" s="60" t="n">
        <v>2.07</v>
      </c>
      <c r="I71" s="61" t="n">
        <v>1899</v>
      </c>
      <c r="J71" s="62" t="n">
        <v>0.000302</v>
      </c>
    </row>
    <row r="72" ht="23.85" customHeight="1" s="44">
      <c r="A72" s="56" t="inlineStr">
        <is>
          <t>WBC-21</t>
        </is>
      </c>
      <c r="B72" s="64" t="inlineStr">
        <is>
          <t>Westpac</t>
        </is>
      </c>
      <c r="C72" s="56" t="inlineStr">
        <is>
          <t>ASSET_ELIGIBILITY</t>
        </is>
      </c>
      <c r="D72" s="56" t="inlineStr">
        <is>
          <t>Which asset category does a tractor fall under in Westpac's DriveXpress?</t>
        </is>
      </c>
      <c r="E72" s="58" t="inlineStr">
        <is>
          <t>v4: gpt-4o-mini + union retrieval (lender OR lender+intent)</t>
        </is>
      </c>
      <c r="F72" s="58" t="inlineStr">
        <is>
          <t>A tractor falls under **Category C** for asset classification in Westpac's DriveXpress (chunk_id: westpac_drivexpress).</t>
        </is>
      </c>
      <c r="G72" s="59" t="inlineStr">
        <is>
          <t>westpac_drivexpress</t>
        </is>
      </c>
      <c r="H72" s="60" t="n">
        <v>2.26</v>
      </c>
      <c r="I72" s="61" t="n">
        <v>2675</v>
      </c>
      <c r="J72" s="62" t="n">
        <v>0.000414</v>
      </c>
    </row>
    <row r="73" ht="23.85" customHeight="1" s="44">
      <c r="A73" s="56" t="inlineStr">
        <is>
          <t>WBC-22</t>
        </is>
      </c>
      <c r="B73" s="64" t="inlineStr">
        <is>
          <t>Westpac</t>
        </is>
      </c>
      <c r="C73" s="56" t="inlineStr">
        <is>
          <t>SPECIAL_PROGRAMS</t>
        </is>
      </c>
      <c r="D73" s="56" t="inlineStr">
        <is>
          <t>Can a new-to-bank customer use Westpac's Rollover channel?</t>
        </is>
      </c>
      <c r="E73" s="58" t="inlineStr">
        <is>
          <t>v4: gpt-4o-mini + union retrieval (lender OR lender+intent)</t>
        </is>
      </c>
      <c r="F73" s="58" t="inlineStr">
        <is>
          <t>No, a new-to-bank customer is not eligible to use Westpac's Rollover channel. (Source: westpac_rollover, chunk_id: westpac_rollover)</t>
        </is>
      </c>
      <c r="G73" s="59" t="inlineStr">
        <is>
          <t>westpac_rollover</t>
        </is>
      </c>
      <c r="H73" s="60" t="n">
        <v>3.05</v>
      </c>
      <c r="I73" s="61" t="n">
        <v>2545</v>
      </c>
      <c r="J73" s="62" t="n">
        <v>0.000398</v>
      </c>
    </row>
    <row r="74" ht="23.85" customHeight="1" s="44">
      <c r="A74" s="56" t="inlineStr">
        <is>
          <t>WBC-23</t>
        </is>
      </c>
      <c r="B74" s="64" t="inlineStr">
        <is>
          <t>Westpac</t>
        </is>
      </c>
      <c r="C74" s="56" t="inlineStr">
        <is>
          <t>PRICING</t>
        </is>
      </c>
      <c r="D74" s="56" t="inlineStr">
        <is>
          <t>Do Westpac's standard rates apply to Xpress (DriveXpress) deals?</t>
        </is>
      </c>
      <c r="E74" s="58" t="inlineStr">
        <is>
          <t>v4: gpt-4o-mini + union retrieval (lender OR lender+intent)</t>
        </is>
      </c>
      <c r="F74" s="58" t="inlineStr">
        <is>
          <t>No, Westpac's standard rates do not apply to Xpress (DriveXpress) deals. This information comes from the excerpt under westpac_standard_rates which states: "Rates exclude Xpress deals." (chunk_id: westpac_standard_rates)</t>
        </is>
      </c>
      <c r="G74" s="59" t="inlineStr">
        <is>
          <t>westpac_standard_rates</t>
        </is>
      </c>
      <c r="H74" s="60" t="n">
        <v>3.12</v>
      </c>
      <c r="I74" s="61" t="n">
        <v>2572</v>
      </c>
      <c r="J74" s="62" t="n">
        <v>0.000408</v>
      </c>
    </row>
    <row r="75" ht="15" customHeight="1" s="44">
      <c r="A75" s="56" t="inlineStr">
        <is>
          <t>WBC-24</t>
        </is>
      </c>
      <c r="B75" s="64" t="inlineStr">
        <is>
          <t>Westpac</t>
        </is>
      </c>
      <c r="C75" s="56" t="inlineStr">
        <is>
          <t>EXCLUSIONS</t>
        </is>
      </c>
      <c r="D75" s="56" t="inlineStr">
        <is>
          <t>Does Westpac finance novated leases?</t>
        </is>
      </c>
      <c r="E75" s="58" t="inlineStr">
        <is>
          <t>v4: gpt-4o-mini + union retrieval (lender OR lender+intent)</t>
        </is>
      </c>
      <c r="F75" s="58" t="inlineStr">
        <is>
          <t>This information is not available in the provided policy documents.</t>
        </is>
      </c>
      <c r="G75" s="59" t="inlineStr">
        <is>
          <t>westpac_exclusions</t>
        </is>
      </c>
      <c r="H75" s="60" t="n">
        <v>3</v>
      </c>
      <c r="I75" s="61" t="n">
        <v>1975</v>
      </c>
      <c r="J75" s="62" t="n">
        <v>0.000301</v>
      </c>
    </row>
    <row r="76" ht="23.85" customHeight="1" s="44">
      <c r="A76" s="56" t="inlineStr">
        <is>
          <t>WBC-25</t>
        </is>
      </c>
      <c r="B76" s="64" t="inlineStr">
        <is>
          <t>Westpac</t>
        </is>
      </c>
      <c r="C76" s="56" t="inlineStr">
        <is>
          <t>SPECIAL_PROGRAMS</t>
        </is>
      </c>
      <c r="D76" s="56" t="inlineStr">
        <is>
          <t>Is a physiotherapist eligible under Westpac's Medical channel?</t>
        </is>
      </c>
      <c r="E76" s="58" t="inlineStr">
        <is>
          <t>v4: gpt-4o-mini + union retrieval (lender OR lender+intent)</t>
        </is>
      </c>
      <c r="F76" s="58" t="inlineStr">
        <is>
          <t>Yes, a physiotherapist is eligible under Westpac's Medical channel as they are classified as an Allied Health Practitioner. This information comes from chunk_id 1.</t>
        </is>
      </c>
      <c r="G76" s="59" t="inlineStr">
        <is>
          <t>westpac_medical</t>
        </is>
      </c>
      <c r="H76" s="60" t="n">
        <v>2.41</v>
      </c>
      <c r="I76" s="61" t="n">
        <v>1889</v>
      </c>
      <c r="J76" s="62" t="n">
        <v>0.000298</v>
      </c>
    </row>
    <row r="77" ht="23.85" customHeight="1" s="44">
      <c r="A77" s="56" t="inlineStr">
        <is>
          <t>CFA-01</t>
        </is>
      </c>
      <c r="B77" s="65" t="inlineStr">
        <is>
          <t>CFAL</t>
        </is>
      </c>
      <c r="C77" s="56" t="inlineStr">
        <is>
          <t>ELIGIBILITY</t>
        </is>
      </c>
      <c r="D77" s="56" t="inlineStr">
        <is>
          <t>What minimum ABN registration duration does CFAL require, and does it offer consumer loans?</t>
        </is>
      </c>
      <c r="E77" s="58" t="inlineStr">
        <is>
          <t>v4: gpt-4o-mini + union retrieval (lender OR lender+intent)</t>
        </is>
      </c>
      <c r="F77" s="58" t="inlineStr">
        <is>
          <t>CFAL requires an ABN registration duration of **≥ 2 years** (chunk_id: cfal_eligibility). Additionally, CFAL does not offer consumer (personal use) products (chunk_id: cfal_eligibility).</t>
        </is>
      </c>
      <c r="G77" s="59" t="inlineStr">
        <is>
          <t>cfal_eligibility</t>
        </is>
      </c>
      <c r="H77" s="60" t="n">
        <v>2.66</v>
      </c>
      <c r="I77" s="61" t="n">
        <v>2353</v>
      </c>
      <c r="J77" s="62" t="n">
        <v>0.000375</v>
      </c>
    </row>
    <row r="78" ht="23.85" customHeight="1" s="44">
      <c r="A78" s="56" t="inlineStr">
        <is>
          <t>CFA-02</t>
        </is>
      </c>
      <c r="B78" s="65" t="inlineStr">
        <is>
          <t>CFAL</t>
        </is>
      </c>
      <c r="C78" s="56" t="inlineStr">
        <is>
          <t>DOCUMENTATION</t>
        </is>
      </c>
      <c r="D78" s="56" t="inlineStr">
        <is>
          <t>Does CFAL offer a Low Doc option, and how old can financial statements be?</t>
        </is>
      </c>
      <c r="E78" s="58" t="inlineStr">
        <is>
          <t>v4: gpt-4o-mini + union retrieval (lender OR lender+intent)</t>
        </is>
      </c>
      <c r="F78" s="58" t="inlineStr">
        <is>
          <t>CFAL has no Low Doc option. All financial statements must be no more than **18 months old** (profit &amp; loss and balance sheet). (Source: cfal_documentation_matrix)</t>
        </is>
      </c>
      <c r="G78" s="59" t="inlineStr">
        <is>
          <t>cfal_documentation_matrix</t>
        </is>
      </c>
      <c r="H78" s="60" t="n">
        <v>1.65</v>
      </c>
      <c r="I78" s="61" t="n">
        <v>2342</v>
      </c>
      <c r="J78" s="62" t="n">
        <v>0.000368</v>
      </c>
    </row>
    <row r="79" ht="23.85" customHeight="1" s="44">
      <c r="A79" s="56" t="inlineStr">
        <is>
          <t>CFA-03</t>
        </is>
      </c>
      <c r="B79" s="65" t="inlineStr">
        <is>
          <t>CFAL</t>
        </is>
      </c>
      <c r="C79" s="56" t="inlineStr">
        <is>
          <t>ELIGIBILITY</t>
        </is>
      </c>
      <c r="D79" s="56" t="inlineStr">
        <is>
          <t>What is the CFAL DriveXpress limit for a new-to-bank customer, and is this channel shared?</t>
        </is>
      </c>
      <c r="E79" s="58" t="inlineStr">
        <is>
          <t>v4: gpt-4o-mini + union retrieval (lender OR lender+intent)</t>
        </is>
      </c>
      <c r="F79" s="58" t="inlineStr">
        <is>
          <t>The CFAL DriveXpress limit for a new-to-bank customer is $150k (chunk_id: cfal_drivexpress_policy). Yes, this channel is shared with Westpac Group (chunk_id: cfal_drivexpress_policy).</t>
        </is>
      </c>
      <c r="G79" s="59" t="inlineStr">
        <is>
          <t>cfal_drivexpress_policy</t>
        </is>
      </c>
      <c r="H79" s="60" t="n">
        <v>1.72</v>
      </c>
      <c r="I79" s="61" t="n">
        <v>2150</v>
      </c>
      <c r="J79" s="62" t="n">
        <v>0.000345</v>
      </c>
    </row>
    <row r="80" ht="23.85" customHeight="1" s="44">
      <c r="A80" s="56" t="inlineStr">
        <is>
          <t>CFA-04</t>
        </is>
      </c>
      <c r="B80" s="65" t="inlineStr">
        <is>
          <t>CFAL</t>
        </is>
      </c>
      <c r="C80" s="56" t="inlineStr">
        <is>
          <t>SPECIAL_PROGRAMS</t>
        </is>
      </c>
      <c r="D80" s="56" t="inlineStr">
        <is>
          <t>Under CFAL's Medical channel, what is the cumulative approval cap for an allied health practitioner?</t>
        </is>
      </c>
      <c r="E80" s="58" t="inlineStr">
        <is>
          <t>v4: gpt-4o-mini + union retrieval (lender OR lender+intent)</t>
        </is>
      </c>
      <c r="F80" s="58" t="inlineStr">
        <is>
          <t>The cumulative approval cap for an allied health practitioner under CFAL's Medical channel is &lt; $250,000. (chunk_id: cfal_medical_policy)</t>
        </is>
      </c>
      <c r="G80" s="59" t="inlineStr">
        <is>
          <t>cfal_medical_policy</t>
        </is>
      </c>
      <c r="H80" s="60" t="n">
        <v>1.71</v>
      </c>
      <c r="I80" s="61" t="n">
        <v>2109</v>
      </c>
      <c r="J80" s="62" t="n">
        <v>0.000331</v>
      </c>
    </row>
    <row r="81" ht="23.85" customHeight="1" s="44">
      <c r="A81" s="56" t="inlineStr">
        <is>
          <t>CFA-05</t>
        </is>
      </c>
      <c r="B81" s="65" t="inlineStr">
        <is>
          <t>CFAL</t>
        </is>
      </c>
      <c r="C81" s="56" t="inlineStr">
        <is>
          <t>SPECIAL_PROGRAMS</t>
        </is>
      </c>
      <c r="D81" s="56" t="inlineStr">
        <is>
          <t>What is the maximum CFAL Rollover loan when the original funder is another financier?</t>
        </is>
      </c>
      <c r="E81" s="58" t="inlineStr">
        <is>
          <t>v4: gpt-4o-mini + union retrieval (lender OR lender+intent)</t>
        </is>
      </c>
      <c r="F81" s="58" t="inlineStr">
        <is>
          <t>The maximum CFAL Rollover loan when the original funder is another financier is $250,000. This information comes from chunk_id "cfal_rollover_policy".</t>
        </is>
      </c>
      <c r="G81" s="59" t="inlineStr">
        <is>
          <t>cfal_rollover_policy</t>
        </is>
      </c>
      <c r="H81" s="60" t="n">
        <v>2.45</v>
      </c>
      <c r="I81" s="61" t="n">
        <v>2707</v>
      </c>
      <c r="J81" s="62" t="n">
        <v>0.000422</v>
      </c>
    </row>
    <row r="82" ht="23.85" customHeight="1" s="44">
      <c r="A82" s="56" t="inlineStr">
        <is>
          <t>CFA-06</t>
        </is>
      </c>
      <c r="B82" s="65" t="inlineStr">
        <is>
          <t>CFAL</t>
        </is>
      </c>
      <c r="C82" s="56" t="inlineStr">
        <is>
          <t>SPECIAL_PROGRAMS</t>
        </is>
      </c>
      <c r="D82" s="56" t="inlineStr">
        <is>
          <t>What is the maximum CFAL Replacement loan for an existing client financing Category B or C goods?</t>
        </is>
      </c>
      <c r="E82" s="58" t="inlineStr">
        <is>
          <t>v4: gpt-4o-mini + union retrieval (lender OR lender+intent)</t>
        </is>
      </c>
      <c r="F82" s="58" t="inlineStr">
        <is>
          <t>The maximum CFAL Replacement loan for an existing client financing Category B goods is $650k (chunk_id: cfal_replacement_policy). For Category C goods, the maximum loan is also $650k (chunk_id: cfal_replacement_policy).</t>
        </is>
      </c>
      <c r="G82" s="59" t="inlineStr">
        <is>
          <t>cfal_replacement_policy</t>
        </is>
      </c>
      <c r="H82" s="60" t="n">
        <v>2.13</v>
      </c>
      <c r="I82" s="61" t="n">
        <v>2723</v>
      </c>
      <c r="J82" s="62" t="n">
        <v>0.000431</v>
      </c>
    </row>
    <row r="83" ht="23.85" customHeight="1" s="44">
      <c r="A83" s="56" t="inlineStr">
        <is>
          <t>CFA-07</t>
        </is>
      </c>
      <c r="B83" s="65" t="inlineStr">
        <is>
          <t>CFAL</t>
        </is>
      </c>
      <c r="C83" s="56" t="inlineStr">
        <is>
          <t>SETTLEMENT</t>
        </is>
      </c>
      <c r="D83" s="56" t="inlineStr">
        <is>
          <t>Under CFAL's updated rules, when is a PPSR company search no longer required?</t>
        </is>
      </c>
      <c r="E83" s="58" t="inlineStr">
        <is>
          <t>v4: gpt-4o-mini + union retrieval (lender OR lender+intent)</t>
        </is>
      </c>
      <c r="F83" s="58" t="inlineStr">
        <is>
          <t>A PPSR company search is no longer required for motor vehicles with a VIN in buyback or private sale transactions when the following conditions are met: the asset must have a VIN, and a search on the day before or day of sale must show no other registration over that VIN. This information comes from chunk_id **cfal_settlement**.</t>
        </is>
      </c>
      <c r="G83" s="59" t="inlineStr">
        <is>
          <t>cfal_settlement</t>
        </is>
      </c>
      <c r="H83" s="60" t="n">
        <v>3.64</v>
      </c>
      <c r="I83" s="61" t="n">
        <v>2227</v>
      </c>
      <c r="J83" s="62" t="n">
        <v>0.000365</v>
      </c>
    </row>
    <row r="84" ht="23.85" customHeight="1" s="44">
      <c r="A84" s="56" t="inlineStr">
        <is>
          <t>CFA-08</t>
        </is>
      </c>
      <c r="B84" s="65" t="inlineStr">
        <is>
          <t>CFAL</t>
        </is>
      </c>
      <c r="C84" s="56" t="inlineStr">
        <is>
          <t>EXCLUSIONS</t>
        </is>
      </c>
      <c r="D84" s="56" t="inlineStr">
        <is>
          <t>Can CFAL do a private sale for heavy equipment (Category B)?</t>
        </is>
      </c>
      <c r="E84" s="58" t="inlineStr">
        <is>
          <t>v4: gpt-4o-mini + union retrieval (lender OR lender+intent)</t>
        </is>
      </c>
      <c r="F84" s="58" t="inlineStr">
        <is>
          <t>No, CFAL does not allow private sales for heavy equipment (Category B). This information comes from chunk_id "cfal_exclusions".</t>
        </is>
      </c>
      <c r="G84" s="59" t="inlineStr">
        <is>
          <t>cfal_exclusions</t>
        </is>
      </c>
      <c r="H84" s="60" t="n">
        <v>2.79</v>
      </c>
      <c r="I84" s="61" t="n">
        <v>2183</v>
      </c>
      <c r="J84" s="62" t="n">
        <v>0.00034</v>
      </c>
    </row>
    <row r="85" ht="23.85" customHeight="1" s="44">
      <c r="A85" s="56" t="inlineStr">
        <is>
          <t>CFA-09</t>
        </is>
      </c>
      <c r="B85" s="65" t="inlineStr">
        <is>
          <t>CFAL</t>
        </is>
      </c>
      <c r="C85" s="56" t="inlineStr">
        <is>
          <t>SPECIAL_PROGRAMS</t>
        </is>
      </c>
      <c r="D85" s="56" t="inlineStr">
        <is>
          <t>What loan term is available for government/school/local route buses under CFAL's Replacement Category C?</t>
        </is>
      </c>
      <c r="E85" s="58" t="inlineStr">
        <is>
          <t>v4: gpt-4o-mini + union retrieval (lender OR lender+intent)</t>
        </is>
      </c>
      <c r="F85" s="58" t="inlineStr">
        <is>
          <t>The loan term available for government/school/local route buses under CFAL's Replacement Category C is up to **10 years**. This information comes from chunk_id 1.</t>
        </is>
      </c>
      <c r="G85" s="59" t="inlineStr">
        <is>
          <t>cfal_replacement_policy</t>
        </is>
      </c>
      <c r="H85" s="60" t="n">
        <v>2.09</v>
      </c>
      <c r="I85" s="61" t="n">
        <v>2196</v>
      </c>
      <c r="J85" s="62" t="n">
        <v>0.000345</v>
      </c>
    </row>
    <row r="86" ht="15" customHeight="1" s="44">
      <c r="A86" s="56" t="inlineStr">
        <is>
          <t>CFA-10</t>
        </is>
      </c>
      <c r="B86" s="65" t="inlineStr">
        <is>
          <t>CFAL</t>
        </is>
      </c>
      <c r="C86" s="56" t="inlineStr">
        <is>
          <t>ELIGIBILITY</t>
        </is>
      </c>
      <c r="D86" s="56" t="inlineStr">
        <is>
          <t>Must all directors guarantee a CFAL loan?</t>
        </is>
      </c>
      <c r="E86" s="58" t="inlineStr">
        <is>
          <t>v4: gpt-4o-mini + union retrieval (lender OR lender+intent)</t>
        </is>
      </c>
      <c r="F86" s="58" t="inlineStr">
        <is>
          <t>Yes, all company directors must guarantee the loan. (Source: cfal_eligibility, chunk_id: 1)</t>
        </is>
      </c>
      <c r="G86" s="59" t="inlineStr">
        <is>
          <t>cfal_eligibility</t>
        </is>
      </c>
      <c r="H86" s="60" t="n">
        <v>2.02</v>
      </c>
      <c r="I86" s="61" t="n">
        <v>2193</v>
      </c>
      <c r="J86" s="62" t="n">
        <v>0.00034</v>
      </c>
    </row>
    <row r="87" ht="23.85" customHeight="1" s="44">
      <c r="A87" s="56" t="inlineStr">
        <is>
          <t>CFA-11</t>
        </is>
      </c>
      <c r="B87" s="65" t="inlineStr">
        <is>
          <t>CFAL</t>
        </is>
      </c>
      <c r="C87" s="56" t="inlineStr">
        <is>
          <t>DOCUMENTATION</t>
        </is>
      </c>
      <c r="D87" s="56" t="inlineStr">
        <is>
          <t>For a CFAL transaction above $1m, what additional documents are required beyond the standard set?</t>
        </is>
      </c>
      <c r="E87" s="58" t="inlineStr">
        <is>
          <t>v4: gpt-4o-mini + union retrieval (lender OR lender+intent)</t>
        </is>
      </c>
      <c r="F87" s="58" t="inlineStr">
        <is>
          <t>For a CFAL transaction above $1m, the additional documents required beyond the standard set are:
1. Detailed background of business/directors (chunk_id: cfal_documentation_matrix)
2. Details of succession planning (chunk_id: cfal_documentation_matrix)
3. List of major competitors &amp; major clients (chunk_id: cfal_documentation_matrix)
4. Last 3 years financial statements (chunk_id: cfal_documentation_matrix)
5. Interim/management accounts if year-end &gt; 6 months old (chunk_id: cfal_documentation_matrix)
6. Current Aged Debtor &amp; Creditors Listing (chunk_id: cfal_documentation_matrix)
7. Commentary on major movements in financials (≥ 10%) (chunk_id: cfal_documentation_matrix)
8. Cash flow projections (with assumptions) (chunk_id: cfal_documentation_matrix)
This set of documents complements the standard requirements listed for all transaction sizes.</t>
        </is>
      </c>
      <c r="G87" s="59" t="inlineStr">
        <is>
          <t>cfal_documentation_matrix</t>
        </is>
      </c>
      <c r="H87" s="60" t="n">
        <v>2.35</v>
      </c>
      <c r="I87" s="61" t="n">
        <v>2562</v>
      </c>
      <c r="J87" s="62" t="n">
        <v>0.000471</v>
      </c>
    </row>
    <row r="88" ht="23.85" customHeight="1" s="44">
      <c r="A88" s="56" t="inlineStr">
        <is>
          <t>CFA-12</t>
        </is>
      </c>
      <c r="B88" s="65" t="inlineStr">
        <is>
          <t>CFAL</t>
        </is>
      </c>
      <c r="C88" s="56" t="inlineStr">
        <is>
          <t>LOAN_LIMITS</t>
        </is>
      </c>
      <c r="D88" s="56" t="inlineStr">
        <is>
          <t>What are the CFAL DriveXpress limits for an existing client by asset category?</t>
        </is>
      </c>
      <c r="E88" s="58" t="inlineStr">
        <is>
          <t>v4: gpt-4o-mini + union retrieval (lender OR lender+intent)</t>
        </is>
      </c>
      <c r="F88" s="58" t="inlineStr">
        <is>
          <t>For existing clients, the CFAL DriveXpress limits by asset category are as follows:
- Category A: Max Loan of $200k, with a Max DriveXpress Exposure of $750k (Source: chunk_id cfal_drivexpress_policy).
- Category B: Max Loan of $300k, with a Max DriveXpress Exposure of $750k (Source: chunk_id cfal_drivexpress_policy).
- Category C: Max Loan of $500k, with a Max DriveXpress Exposure of $750k (Source: chunk_id cfal_drivexpress_policy).</t>
        </is>
      </c>
      <c r="G88" s="59" t="inlineStr">
        <is>
          <t>cfal_drivexpress_policy</t>
        </is>
      </c>
      <c r="H88" s="60" t="n">
        <v>3.15</v>
      </c>
      <c r="I88" s="61" t="n">
        <v>2528</v>
      </c>
      <c r="J88" s="62" t="n">
        <v>0.000433</v>
      </c>
    </row>
    <row r="89" ht="23.85" customHeight="1" s="44">
      <c r="A89" s="56" t="inlineStr">
        <is>
          <t>CFA-13</t>
        </is>
      </c>
      <c r="B89" s="65" t="inlineStr">
        <is>
          <t>CFAL</t>
        </is>
      </c>
      <c r="C89" s="56" t="inlineStr">
        <is>
          <t>SPECIAL_PROGRAMS</t>
        </is>
      </c>
      <c r="D89" s="56" t="inlineStr">
        <is>
          <t>What repayment increase does CFAL's Replacement channel allow for an existing customer?</t>
        </is>
      </c>
      <c r="E89" s="58" t="inlineStr">
        <is>
          <t>v4: gpt-4o-mini + union retrieval (lender OR lender+intent)</t>
        </is>
      </c>
      <c r="F89" s="58" t="inlineStr">
        <is>
          <t>The CFAL Replacement channel allows existing customers to have monthly repayments within **150% of the payment being replaced** (existing customers). This information comes from chunk_id: cfal_replacement_policy.</t>
        </is>
      </c>
      <c r="G89" s="59" t="inlineStr">
        <is>
          <t>cfal_replacement_policy</t>
        </is>
      </c>
      <c r="H89" s="60" t="n">
        <v>1.39</v>
      </c>
      <c r="I89" s="61" t="n">
        <v>2457</v>
      </c>
      <c r="J89" s="62" t="n">
        <v>0.000386</v>
      </c>
    </row>
    <row r="90" ht="23.85" customHeight="1" s="44">
      <c r="A90" s="56" t="inlineStr">
        <is>
          <t>CFA-14</t>
        </is>
      </c>
      <c r="B90" s="65" t="inlineStr">
        <is>
          <t>CFAL</t>
        </is>
      </c>
      <c r="C90" s="56" t="inlineStr">
        <is>
          <t>SPECIAL_PROGRAMS</t>
        </is>
      </c>
      <c r="D90" s="56" t="inlineStr">
        <is>
          <t>What are CFAL's Medical channel eligibility conditions for a new client?</t>
        </is>
      </c>
      <c r="E90" s="58" t="inlineStr">
        <is>
          <t>v4: gpt-4o-mini + union retrieval (lender OR lender+intent)</t>
        </is>
      </c>
      <c r="F90" s="58" t="inlineStr">
        <is>
          <t>To be eligible for CFAL's Medical channel as a new client, the following conditions must be met:
1. Must own residential property (cfal_medical_policy, chunk_id: 1).
2. Must have a minimum annual income of $75,000 per annum (cfal_medical_policy, chunk_id: 1).
3. Borrower/Guarantor must have a satisfactory credit bureau report (cfal_medical_policy, chunk_id: 1).
4. Must have been in business for more than 2 years (cfal_medical_policy, chunk_id: 1).
5. Must be GST registered (cfal_eligibility, chunk_id: 2).
6. Statutory obligations must be up to date and there should be no payment arrangements in place (cfal_eligibility, chunk_id: 2).
7. A signed Affordability Declaration is required (cfal_medical_policy, chunk_id: 1).</t>
        </is>
      </c>
      <c r="G90" s="59" t="inlineStr">
        <is>
          <t>cfal_medical_policy</t>
        </is>
      </c>
      <c r="H90" s="60" t="n">
        <v>3.37</v>
      </c>
      <c r="I90" s="61" t="n">
        <v>2269</v>
      </c>
      <c r="J90" s="62" t="n">
        <v>0.000429</v>
      </c>
    </row>
    <row r="91" ht="23.85" customHeight="1" s="44">
      <c r="A91" s="56" t="inlineStr">
        <is>
          <t>CFA-15</t>
        </is>
      </c>
      <c r="B91" s="65" t="inlineStr">
        <is>
          <t>CFAL</t>
        </is>
      </c>
      <c r="C91" s="56" t="inlineStr">
        <is>
          <t>EXCLUSIONS</t>
        </is>
      </c>
      <c r="D91" s="56" t="inlineStr">
        <is>
          <t>What deposit does CFAL require for a non-asset-backed application in a 'Remote' area?</t>
        </is>
      </c>
      <c r="E91" s="58" t="inlineStr">
        <is>
          <t>v4: gpt-4o-mini + union retrieval (lender OR lender+intent)</t>
        </is>
      </c>
      <c r="F91" s="58" t="inlineStr">
        <is>
          <t>For a non-asset-backed application in a 'Remote' area, CFAL requires a 20% deposit. This information comes from chunk_id cfal_exclusions.</t>
        </is>
      </c>
      <c r="G91" s="59" t="inlineStr">
        <is>
          <t>cfal_exclusions</t>
        </is>
      </c>
      <c r="H91" s="60" t="n">
        <v>1.13</v>
      </c>
      <c r="I91" s="61" t="n">
        <v>2318</v>
      </c>
      <c r="J91" s="62" t="n">
        <v>0.000363</v>
      </c>
    </row>
    <row r="92" ht="23.85" customHeight="1" s="44">
      <c r="A92" s="56" t="inlineStr">
        <is>
          <t>CFA-16</t>
        </is>
      </c>
      <c r="B92" s="65" t="inlineStr">
        <is>
          <t>CFAL</t>
        </is>
      </c>
      <c r="C92" s="56" t="inlineStr">
        <is>
          <t>ELIGIBILITY</t>
        </is>
      </c>
      <c r="D92" s="56" t="inlineStr">
        <is>
          <t>Where does CFAL's ATO/statutory compliance requirement come from and what does it require?</t>
        </is>
      </c>
      <c r="E92" s="58" t="inlineStr">
        <is>
          <t>v4: gpt-4o-mini + union retrieval (lender OR lender+intent)</t>
        </is>
      </c>
      <c r="F92" s="58" t="inlineStr">
        <is>
          <t>CFAL's ATO/statutory compliance requirement comes from the **Universal eligibility criteria** in the policy excerpts. It requires that statutory lodgements and payments (tax, GST, employee entitlements) must be up to date, and no payment arrangements can be in place (chunk_id: cfal_eligibility).</t>
        </is>
      </c>
      <c r="G92" s="59" t="inlineStr">
        <is>
          <t>cfal_eligibility</t>
        </is>
      </c>
      <c r="H92" s="60" t="n">
        <v>1.59</v>
      </c>
      <c r="I92" s="61" t="n">
        <v>2348</v>
      </c>
      <c r="J92" s="62" t="n">
        <v>0.000381</v>
      </c>
    </row>
    <row r="93" ht="23.85" customHeight="1" s="44">
      <c r="A93" s="56" t="inlineStr">
        <is>
          <t>CFA-17</t>
        </is>
      </c>
      <c r="B93" s="65" t="inlineStr">
        <is>
          <t>CFAL</t>
        </is>
      </c>
      <c r="C93" s="56" t="inlineStr">
        <is>
          <t>DOCUMENTATION</t>
        </is>
      </c>
      <c r="D93" s="56" t="inlineStr">
        <is>
          <t>What documents does CFAL require at the $250k or below transaction band?</t>
        </is>
      </c>
      <c r="E93" s="58" t="inlineStr">
        <is>
          <t>v4: gpt-4o-mini + union retrieval (lender OR lender+intent)</t>
        </is>
      </c>
      <c r="F93" s="58" t="inlineStr">
        <is>
          <t>For a transaction size of $250k or below, CFAL requires the following documents:
1. Client information (name, address, DOB etc.) - (chunk_id: cfal_documentation_matrix)
2. Brief background of business/directors - (chunk_id: cfal_documentation_matrix)
3. ABN for 2 years + GST registered - (chunk_id: cfal_documentation_matrix)
4. Full description of goods - (chunk_id: cfal_documentation_matrix)
5. Reason of purchase - (chunk_id: cfal_documentation_matrix)
6. Signed Privacy Form from ALL individuals - (chunk_id: cfal_documentation_matrix)
7. Last 2 years financial statements (P&amp;L + Balance Sheet) - (chunk_id: cfal_documentation_matrix)
8. Last 2 years tax returns — individuals and beneficiaries - (chunk_id: cfal_documentation_matrix)
9. Current Asset &amp; Liability Statement (all directors/guarantors) - (chunk_id: cfal_documentation_matrix)
10. Commitment Schedule - (chunk_id: cfal_documentation_matrix)
There are no additional requirements listed for this transaction size in the excerpts provided.</t>
        </is>
      </c>
      <c r="G93" s="59" t="inlineStr">
        <is>
          <t>cfal_documentation_matrix</t>
        </is>
      </c>
      <c r="H93" s="60" t="n">
        <v>2.46</v>
      </c>
      <c r="I93" s="61" t="n">
        <v>2417</v>
      </c>
      <c r="J93" s="62" t="n">
        <v>0.000471</v>
      </c>
    </row>
    <row r="94" ht="23.85" customHeight="1" s="44">
      <c r="A94" s="56" t="inlineStr">
        <is>
          <t>CFA-18</t>
        </is>
      </c>
      <c r="B94" s="65" t="inlineStr">
        <is>
          <t>CFAL</t>
        </is>
      </c>
      <c r="C94" s="56" t="inlineStr">
        <is>
          <t>ASSET_ELIGIBILITY</t>
        </is>
      </c>
      <c r="D94" s="56" t="inlineStr">
        <is>
          <t>What is the age limit for Category C agricultural equipment under CFAL's DriveXpress?</t>
        </is>
      </c>
      <c r="E94" s="58" t="inlineStr">
        <is>
          <t>v4: gpt-4o-mini + union retrieval (lender OR lender+intent)</t>
        </is>
      </c>
      <c r="F94" s="58" t="inlineStr">
        <is>
          <t>This information is not available in the provided policy documents.</t>
        </is>
      </c>
      <c r="G94" s="59" t="inlineStr">
        <is>
          <t>cfal_drivexpress_policy</t>
        </is>
      </c>
      <c r="H94" s="60" t="n">
        <v>1.04</v>
      </c>
      <c r="I94" s="61" t="n">
        <v>2419</v>
      </c>
      <c r="J94" s="62" t="n">
        <v>0.000368</v>
      </c>
    </row>
    <row r="95" ht="23.85" customHeight="1" s="44">
      <c r="A95" s="56" t="inlineStr">
        <is>
          <t>CFA-19</t>
        </is>
      </c>
      <c r="B95" s="65" t="inlineStr">
        <is>
          <t>CFAL</t>
        </is>
      </c>
      <c r="C95" s="56" t="inlineStr">
        <is>
          <t>SETTLEMENT</t>
        </is>
      </c>
      <c r="D95" s="56" t="inlineStr">
        <is>
          <t>Whose interest must be noted on the insurance for a CFAL-financed asset?</t>
        </is>
      </c>
      <c r="E95" s="58" t="inlineStr">
        <is>
          <t>v4: gpt-4o-mini + union retrieval (lender OR lender+intent)</t>
        </is>
      </c>
      <c r="F95" s="58" t="inlineStr">
        <is>
          <t>The insurance for a CFAL-financed asset must note CFAL / Westpac as an interested party (chunk_id: cfal_settlement).</t>
        </is>
      </c>
      <c r="G95" s="59" t="inlineStr">
        <is>
          <t>cfal_settlement</t>
        </is>
      </c>
      <c r="H95" s="60" t="n">
        <v>1.16</v>
      </c>
      <c r="I95" s="61" t="n">
        <v>2186</v>
      </c>
      <c r="J95" s="62" t="n">
        <v>0.000341</v>
      </c>
    </row>
    <row r="96" ht="23.85" customHeight="1" s="44">
      <c r="A96" s="56" t="inlineStr">
        <is>
          <t>CFA-20</t>
        </is>
      </c>
      <c r="B96" s="65" t="inlineStr">
        <is>
          <t>CFAL</t>
        </is>
      </c>
      <c r="C96" s="56" t="inlineStr">
        <is>
          <t>SPECIAL_PROGRAMS</t>
        </is>
      </c>
      <c r="D96" s="56" t="inlineStr">
        <is>
          <t>How long must a contract have been operating to be eligible for CFAL Rollover?</t>
        </is>
      </c>
      <c r="E96" s="58" t="inlineStr">
        <is>
          <t>v4: gpt-4o-mini + union retrieval (lender OR lender+intent)</t>
        </is>
      </c>
      <c r="F96" s="58" t="inlineStr">
        <is>
          <t>A contract must have been operating for **more than 12 months** to be eligible for CFAL Rollover. (chunk_id: cfal_rollover_policy)</t>
        </is>
      </c>
      <c r="G96" s="59" t="inlineStr">
        <is>
          <t>cfal_rollover_policy</t>
        </is>
      </c>
      <c r="H96" s="60" t="n">
        <v>1.03</v>
      </c>
      <c r="I96" s="61" t="n">
        <v>2476</v>
      </c>
      <c r="J96" s="62" t="n">
        <v>0.000387</v>
      </c>
    </row>
    <row r="97" ht="15" customHeight="1" s="44">
      <c r="A97" s="56" t="inlineStr">
        <is>
          <t>CFA-21</t>
        </is>
      </c>
      <c r="B97" s="65" t="inlineStr">
        <is>
          <t>CFAL</t>
        </is>
      </c>
      <c r="C97" s="56" t="inlineStr">
        <is>
          <t>ELIGIBILITY</t>
        </is>
      </c>
      <c r="D97" s="56" t="inlineStr">
        <is>
          <t>Does CFAL publish a public rate card?</t>
        </is>
      </c>
      <c r="E97" s="58" t="inlineStr">
        <is>
          <t>v4: gpt-4o-mini + union retrieval (lender OR lender+intent)</t>
        </is>
      </c>
      <c r="F97" s="58" t="inlineStr">
        <is>
          <t>This information is not available in the provided policy documents.</t>
        </is>
      </c>
      <c r="G97" s="59" t="inlineStr">
        <is>
          <t>cfal_eligibility</t>
        </is>
      </c>
      <c r="H97" s="60" t="n">
        <v>0.78</v>
      </c>
      <c r="I97" s="61" t="n">
        <v>2410</v>
      </c>
      <c r="J97" s="62" t="n">
        <v>0.000366</v>
      </c>
    </row>
    <row r="98" ht="23.85" customHeight="1" s="44">
      <c r="A98" s="56" t="inlineStr">
        <is>
          <t>CFA-22</t>
        </is>
      </c>
      <c r="B98" s="65" t="inlineStr">
        <is>
          <t>CFAL</t>
        </is>
      </c>
      <c r="C98" s="56" t="inlineStr">
        <is>
          <t>ELIGIBILITY</t>
        </is>
      </c>
      <c r="D98" s="56" t="inlineStr">
        <is>
          <t>Is CFAL's DriveXpress a standalone product unrelated to other lenders?</t>
        </is>
      </c>
      <c r="E98" s="58" t="inlineStr">
        <is>
          <t>v4: gpt-4o-mini + union retrieval (lender OR lender+intent)</t>
        </is>
      </c>
      <c r="F98" s="58" t="inlineStr">
        <is>
          <t>This information is not available in the provided policy documents.</t>
        </is>
      </c>
      <c r="G98" s="59" t="inlineStr">
        <is>
          <t>cfal_drivexpress_policy</t>
        </is>
      </c>
      <c r="H98" s="60" t="n">
        <v>0.87</v>
      </c>
      <c r="I98" s="61" t="n">
        <v>2416</v>
      </c>
      <c r="J98" s="62" t="n">
        <v>0.000367</v>
      </c>
    </row>
    <row r="99" ht="15" customHeight="1" s="44">
      <c r="A99" s="56" t="inlineStr">
        <is>
          <t>CFA-23</t>
        </is>
      </c>
      <c r="B99" s="65" t="inlineStr">
        <is>
          <t>CFAL</t>
        </is>
      </c>
      <c r="C99" s="56" t="inlineStr">
        <is>
          <t>EXCLUSIONS</t>
        </is>
      </c>
      <c r="D99" s="56" t="inlineStr">
        <is>
          <t>Does CFAL finance charter buses?</t>
        </is>
      </c>
      <c r="E99" s="58" t="inlineStr">
        <is>
          <t>v4: gpt-4o-mini + union retrieval (lender OR lender+intent)</t>
        </is>
      </c>
      <c r="F99" s="58" t="inlineStr">
        <is>
          <t>CFAL does not finance charter buses. According to the policy, charter buses are categorized as excluded vehicles/assets (chunk_id: cfal_exclusions).</t>
        </is>
      </c>
      <c r="G99" s="59" t="inlineStr">
        <is>
          <t>cfal_exclusions</t>
        </is>
      </c>
      <c r="H99" s="60" t="n">
        <v>1.42</v>
      </c>
      <c r="I99" s="61" t="n">
        <v>2178</v>
      </c>
      <c r="J99" s="62" t="n">
        <v>0.00034</v>
      </c>
    </row>
    <row r="100" ht="23.85" customHeight="1" s="44">
      <c r="A100" s="56" t="inlineStr">
        <is>
          <t>CFA-24</t>
        </is>
      </c>
      <c r="B100" s="65" t="inlineStr">
        <is>
          <t>CFAL</t>
        </is>
      </c>
      <c r="C100" s="56" t="inlineStr">
        <is>
          <t>SPECIAL_PROGRAMS</t>
        </is>
      </c>
      <c r="D100" s="56" t="inlineStr">
        <is>
          <t>Are pharmacists eligible under CFAL's Medical channel?</t>
        </is>
      </c>
      <c r="E100" s="58" t="inlineStr">
        <is>
          <t>v4: gpt-4o-mini + union retrieval (lender OR lender+intent)</t>
        </is>
      </c>
      <c r="F100" s="58" t="inlineStr">
        <is>
          <t>Pharmacists are **excluded** from eligibility under CFAL's Medical channel. This information comes from chunk_id **cfal_medical_policy**.</t>
        </is>
      </c>
      <c r="G100" s="59" t="inlineStr">
        <is>
          <t>cfal_medical_policy</t>
        </is>
      </c>
      <c r="H100" s="60" t="n">
        <v>1.03</v>
      </c>
      <c r="I100" s="61" t="n">
        <v>1909</v>
      </c>
      <c r="J100" s="62" t="n">
        <v>0.0003</v>
      </c>
    </row>
    <row r="101" ht="23.85" customHeight="1" s="44">
      <c r="A101" s="56" t="inlineStr">
        <is>
          <t>CFA-25</t>
        </is>
      </c>
      <c r="B101" s="65" t="inlineStr">
        <is>
          <t>CFAL</t>
        </is>
      </c>
      <c r="C101" s="56" t="inlineStr">
        <is>
          <t>DOCUMENTATION</t>
        </is>
      </c>
      <c r="D101" s="56" t="inlineStr">
        <is>
          <t>Does CFAL have a Low Doc fast-approval documentation option for large transactions?</t>
        </is>
      </c>
      <c r="E101" s="58" t="inlineStr">
        <is>
          <t>v4: gpt-4o-mini + union retrieval (lender OR lender+intent)</t>
        </is>
      </c>
      <c r="F101" s="58" t="inlineStr">
        <is>
          <t>CFAL has no Low Doc option (chunk_id: cfal_documentation_matrix). Additionally, documentation requirements scale with transaction size, meaning that for large transactions, more extensive documentation is needed rather than a simplified process (chunk_id: cfal_documentation_matrix). Therefore, CFAL does not offer a Low Doc fast-approval documentation option for large transactions.</t>
        </is>
      </c>
      <c r="G101" s="59" t="inlineStr">
        <is>
          <t>cfal_documentation_matrix</t>
        </is>
      </c>
      <c r="H101" s="60" t="n">
        <v>1.41</v>
      </c>
      <c r="I101" s="61" t="n">
        <v>2435</v>
      </c>
      <c r="J101" s="62" t="n">
        <v>0.000397</v>
      </c>
    </row>
    <row r="102" ht="23.85" customHeight="1" s="44">
      <c r="A102" s="56" t="inlineStr">
        <is>
          <t>ANG-01</t>
        </is>
      </c>
      <c r="B102" s="66" t="inlineStr">
        <is>
          <t>Angle</t>
        </is>
      </c>
      <c r="C102" s="56" t="inlineStr">
        <is>
          <t>SPECIAL_PROGRAMS</t>
        </is>
      </c>
      <c r="D102" s="56" t="inlineStr">
        <is>
          <t>What are the qualifying criteria for Angle's $400k Low Doc program?</t>
        </is>
      </c>
      <c r="E102" s="58" t="inlineStr">
        <is>
          <t>v4: gpt-4o-mini + union retrieval (lender OR lender+intent)</t>
        </is>
      </c>
      <c r="F102" s="58" t="inlineStr">
        <is>
          <t>The qualifying criteria for Angle's $400k Low Doc program are as follows:
1. **ABN Registration**: Must have 3+ years ABN &amp; GST registered (chunk_id: angle_400k_low_doc).
2. **Credit Score**: A minimum credit score of 600+ is required for both corporate and individual applicants (chunk_id: angle_400k_low_doc).
3. **Asset Finance Credit Reference**: A minimum of 12 months Asset Finance Credit Reference is required from Angle Finance or a Tier 1 / Tier 2 Asset Finance Provider (chunk_id: angle_400k_low_doc).
4. **Max Transaction Size**: The maximum transaction size is $400k (chunk_id: angle_400k_low_doc).
5. **Property Backed**: The finance must be property backed, and spousal property is accepted (chunk_id: angle_400k_low_doc).
6. **Asset Types**: The eligible asset types include Primary &amp; Secondary (chunk_id: angle_400k_low_doc).
7. **Maximum EOT**: For primary assets, the maximum EOT is 25 years, and for secondary assets, it is 15 years (chunk_id: angle_400k_low_doc).
8. **Motor Vehicle**: There is no change to the maximum asset price for motor vehicles, and multiple vehicles are accepted (chunk_id: angle_400k_low_doc).
**Exclusions**: The following are excluded from the $400k Low Doc program: Sole traders, tertiary assets, prime movers, and buses (chunk_id: angle_400k_low_doc).</t>
        </is>
      </c>
      <c r="G102" s="59" t="inlineStr">
        <is>
          <t>angle_400k_low_doc</t>
        </is>
      </c>
      <c r="H102" s="60" t="n">
        <v>3.68</v>
      </c>
      <c r="I102" s="61" t="n">
        <v>2863</v>
      </c>
      <c r="J102" s="62" t="n">
        <v>0.000578</v>
      </c>
    </row>
    <row r="103" ht="23.85" customHeight="1" s="44">
      <c r="A103" s="56" t="inlineStr">
        <is>
          <t>ANG-02</t>
        </is>
      </c>
      <c r="B103" s="66" t="inlineStr">
        <is>
          <t>Angle</t>
        </is>
      </c>
      <c r="C103" s="56" t="inlineStr">
        <is>
          <t>EXCLUSIONS</t>
        </is>
      </c>
      <c r="D103" s="56" t="inlineStr">
        <is>
          <t>Which applicants and assets are excluded from Angle's $400k Low Doc program?</t>
        </is>
      </c>
      <c r="E103" s="58" t="inlineStr">
        <is>
          <t>v4: gpt-4o-mini + union retrieval (lender OR lender+intent)</t>
        </is>
      </c>
      <c r="F103" s="58" t="inlineStr">
        <is>
          <t>The following applicants and assets are excluded from Angle's $400k Low Doc program:
**Applicants excluded:**
- Sole traders (chunk_id: angle_400k_low_doc)
- Applicants with credit scores below 500 (chunk_id: angle_exclusions)
- Taxi and Uber drivers (chunk_id: angle_exclusions)
**Assets excluded:**
- Tertiary assets (chunk_id: angle_400k_low_doc)
- Prime movers (chunk_id: angle_400k_low_doc)
- Buses (chunk_id: angle_400k_low_doc)</t>
        </is>
      </c>
      <c r="G103" s="59" t="inlineStr">
        <is>
          <t>angle_400k_low_doc</t>
        </is>
      </c>
      <c r="H103" s="60" t="n">
        <v>1.75</v>
      </c>
      <c r="I103" s="61" t="n">
        <v>2378</v>
      </c>
      <c r="J103" s="62" t="n">
        <v>0.000408</v>
      </c>
    </row>
    <row r="104" ht="23.85" customHeight="1" s="44">
      <c r="A104" s="56" t="inlineStr">
        <is>
          <t>ANG-03</t>
        </is>
      </c>
      <c r="B104" s="66" t="inlineStr">
        <is>
          <t>Angle</t>
        </is>
      </c>
      <c r="C104" s="56" t="inlineStr">
        <is>
          <t>SPECIAL_PROGRAMS</t>
        </is>
      </c>
      <c r="D104" s="56" t="inlineStr">
        <is>
          <t>What is the maximum loan and deposit under Angle's Start-Up product?</t>
        </is>
      </c>
      <c r="E104" s="58" t="inlineStr">
        <is>
          <t>v4: gpt-4o-mini + union retrieval (lender OR lender+intent)</t>
        </is>
      </c>
      <c r="F104" s="58" t="inlineStr">
        <is>
          <t>The maximum loan amount under Angle's Start-Up product is $150,000, including brokerage (chunk_id: angle_start_up). The required deposit for all applications is 20% (chunk_id: angle_start_up).</t>
        </is>
      </c>
      <c r="G104" s="59" t="inlineStr">
        <is>
          <t>angle_start_up</t>
        </is>
      </c>
      <c r="H104" s="60" t="n">
        <v>1.25</v>
      </c>
      <c r="I104" s="61" t="n">
        <v>2035</v>
      </c>
      <c r="J104" s="62" t="n">
        <v>0.000325</v>
      </c>
    </row>
    <row r="105" ht="23.85" customHeight="1" s="44">
      <c r="A105" s="56" t="inlineStr">
        <is>
          <t>ANG-04</t>
        </is>
      </c>
      <c r="B105" s="66" t="inlineStr">
        <is>
          <t>Angle</t>
        </is>
      </c>
      <c r="C105" s="56" t="inlineStr">
        <is>
          <t>SPECIAL_PROGRAMS</t>
        </is>
      </c>
      <c r="D105" s="56" t="inlineStr">
        <is>
          <t>What entity types qualify for Angle's Prime Movers product, and is Low Doc available?</t>
        </is>
      </c>
      <c r="E105" s="58" t="inlineStr">
        <is>
          <t>v4: gpt-4o-mini + union retrieval (lender OR lender+intent)</t>
        </is>
      </c>
      <c r="F105" s="58" t="inlineStr">
        <is>
          <t>Angle Finance qualifies only **companies and trusts** for its Prime Movers product, as no sole traders or individual partnerships are accepted (chunk_id: angle_prime_movers). Additionally, **Low Doc is not available** for Prime Movers; bank statements or full financial assessments are required (chunk_id: angle_prime_movers).</t>
        </is>
      </c>
      <c r="G105" s="59" t="inlineStr">
        <is>
          <t>angle_prime_movers</t>
        </is>
      </c>
      <c r="H105" s="60" t="n">
        <v>1.78</v>
      </c>
      <c r="I105" s="61" t="n">
        <v>2832</v>
      </c>
      <c r="J105" s="62" t="n">
        <v>0.000453</v>
      </c>
    </row>
    <row r="106" ht="23.85" customHeight="1" s="44">
      <c r="A106" s="56" t="inlineStr">
        <is>
          <t>ANG-05</t>
        </is>
      </c>
      <c r="B106" s="66" t="inlineStr">
        <is>
          <t>Angle</t>
        </is>
      </c>
      <c r="C106" s="56" t="inlineStr">
        <is>
          <t>ELIGIBILITY</t>
        </is>
      </c>
      <c r="D106" s="56" t="inlineStr">
        <is>
          <t>Does Angle accept spousal property, and what deposit do non-property owners pay?</t>
        </is>
      </c>
      <c r="E106" s="58" t="inlineStr">
        <is>
          <t>v4: gpt-4o-mini + union retrieval (lender OR lender+intent)</t>
        </is>
      </c>
      <c r="F106" s="58" t="inlineStr">
        <is>
          <t>Yes, Angle accepts spousal property as asset backed. To support this, a marriage certificate, Medicare card, or joint utility bill is required to evidence the relationship. This information comes from chunk_id "angle_property_and_deposits".
Non-property owners are required to pay a 20% deposit. This fact is also from chunk_id "angle_property_and_deposits".</t>
        </is>
      </c>
      <c r="G106" s="59" t="inlineStr">
        <is>
          <t>angle_property_and_deposits</t>
        </is>
      </c>
      <c r="H106" s="60" t="n">
        <v>1.54</v>
      </c>
      <c r="I106" s="61" t="n">
        <v>1955</v>
      </c>
      <c r="J106" s="62" t="n">
        <v>0.000327</v>
      </c>
    </row>
    <row r="107" ht="15" customHeight="1" s="44">
      <c r="A107" s="56" t="inlineStr">
        <is>
          <t>ANG-06</t>
        </is>
      </c>
      <c r="B107" s="66" t="inlineStr">
        <is>
          <t>Angle</t>
        </is>
      </c>
      <c r="C107" s="56" t="inlineStr">
        <is>
          <t>FEES</t>
        </is>
      </c>
      <c r="D107" s="56" t="inlineStr">
        <is>
          <t>What is Angle's establishment fee and maximum brokerage?</t>
        </is>
      </c>
      <c r="E107" s="58" t="inlineStr">
        <is>
          <t>v4: gpt-4o-mini + union retrieval (lender OR lender+intent)</t>
        </is>
      </c>
      <c r="F107" s="58" t="inlineStr">
        <is>
          <t>Angle's establishment fee is $649, which can be financed into the loan or paid via direct debit at settlement (chunk_id: angle_fees_brokerage). The maximum brokerage is up to 8% (incl GST) (chunk_id: angle_fees_brokerage).</t>
        </is>
      </c>
      <c r="G107" s="59" t="inlineStr">
        <is>
          <t>angle_fees_brokerage</t>
        </is>
      </c>
      <c r="H107" s="60" t="n">
        <v>1.34</v>
      </c>
      <c r="I107" s="61" t="n">
        <v>2044</v>
      </c>
      <c r="J107" s="62" t="n">
        <v>0.000332</v>
      </c>
    </row>
    <row r="108" ht="23.85" customHeight="1" s="44">
      <c r="A108" s="56" t="inlineStr">
        <is>
          <t>ANG-07</t>
        </is>
      </c>
      <c r="B108" s="66" t="inlineStr">
        <is>
          <t>Angle</t>
        </is>
      </c>
      <c r="C108" s="56" t="inlineStr">
        <is>
          <t>LOAN_LIMITS</t>
        </is>
      </c>
      <c r="D108" s="56" t="inlineStr">
        <is>
          <t>How does a customer's credit score determine total exposure at Angle?</t>
        </is>
      </c>
      <c r="E108" s="58" t="inlineStr">
        <is>
          <t>v4: gpt-4o-mini + union retrieval (lender OR lender+intent)</t>
        </is>
      </c>
      <c r="F108" s="58" t="inlineStr">
        <is>
          <t>A customer's credit score at Angle determines total exposure as follows:
- A credit score of 500 allows for total exposure of less than $150,000. (chunk_id: angle_loan_structure)
- A credit score of 550 allows for total exposure of less than $250,000. (chunk_id: angle_loan_structure)
- A credit score of 650 allows for total exposure of greater than $250,000. (chunk_id: angle_loan_structure)
Furthermore, large ticket deals over $500,000 may have credit score flexibility, and credit scores below 650 can be considered with a financial assessment. It is advised to speak to the Business Development Manager (BDM) to determine if the customer profile qualifies. (chunk_id: angle_loan_structure)</t>
        </is>
      </c>
      <c r="G108" s="59" t="inlineStr">
        <is>
          <t>angle_loan_structure</t>
        </is>
      </c>
      <c r="H108" s="60" t="n">
        <v>2.42</v>
      </c>
      <c r="I108" s="61" t="n">
        <v>2591</v>
      </c>
      <c r="J108" s="62" t="n">
        <v>0.000459</v>
      </c>
    </row>
    <row r="109" ht="15" customHeight="1" s="44">
      <c r="A109" s="56" t="inlineStr">
        <is>
          <t>ANG-08</t>
        </is>
      </c>
      <c r="B109" s="66" t="inlineStr">
        <is>
          <t>Angle</t>
        </is>
      </c>
      <c r="C109" s="56" t="inlineStr">
        <is>
          <t>EXCLUSIONS</t>
        </is>
      </c>
      <c r="D109" s="56" t="inlineStr">
        <is>
          <t>Does Angle finance taxi or Uber drivers?</t>
        </is>
      </c>
      <c r="E109" s="58" t="inlineStr">
        <is>
          <t>v4: gpt-4o-mini + union retrieval (lender OR lender+intent)</t>
        </is>
      </c>
      <c r="F109" s="58" t="inlineStr">
        <is>
          <t>Angle does not finance taxi or Uber drivers (chunk_id: angle_exclusions).</t>
        </is>
      </c>
      <c r="G109" s="59" t="inlineStr">
        <is>
          <t>angle_exclusions</t>
        </is>
      </c>
      <c r="H109" s="60" t="n">
        <v>0.85</v>
      </c>
      <c r="I109" s="61" t="n">
        <v>1622</v>
      </c>
      <c r="J109" s="62" t="n">
        <v>0.00025</v>
      </c>
    </row>
    <row r="110" ht="23.85" customHeight="1" s="44">
      <c r="A110" s="56" t="inlineStr">
        <is>
          <t>ANG-09</t>
        </is>
      </c>
      <c r="B110" s="66" t="inlineStr">
        <is>
          <t>Angle</t>
        </is>
      </c>
      <c r="C110" s="56" t="inlineStr">
        <is>
          <t>SETTLEMENT</t>
        </is>
      </c>
      <c r="D110" s="56" t="inlineStr">
        <is>
          <t>When does Angle require a Certificate of Currency, and how are private sales inspected?</t>
        </is>
      </c>
      <c r="E110" s="58" t="inlineStr">
        <is>
          <t>v4: gpt-4o-mini + union retrieval (lender OR lender+intent)</t>
        </is>
      </c>
      <c r="F110" s="58" t="inlineStr">
        <is>
          <t>Angle requires a Certificate of Currency for assets greater than $100k (chunk_id: angle_settlement). For private sales, inspection is conducted via Verimoto, Redbook, Olasio, or Broker Inspection (chunk_id: angle_settlement).</t>
        </is>
      </c>
      <c r="G110" s="59" t="inlineStr">
        <is>
          <t>angle_settlement</t>
        </is>
      </c>
      <c r="H110" s="60" t="n">
        <v>1.34</v>
      </c>
      <c r="I110" s="61" t="n">
        <v>2032</v>
      </c>
      <c r="J110" s="62" t="n">
        <v>0.000327</v>
      </c>
    </row>
    <row r="111" ht="23.85" customHeight="1" s="44">
      <c r="A111" s="56" t="inlineStr">
        <is>
          <t>ANG-10</t>
        </is>
      </c>
      <c r="B111" s="66" t="inlineStr">
        <is>
          <t>Angle</t>
        </is>
      </c>
      <c r="C111" s="56" t="inlineStr">
        <is>
          <t>LOAN_LIMITS</t>
        </is>
      </c>
      <c r="D111" s="56" t="inlineStr">
        <is>
          <t>What is the maximum balloon on an Angle loan over a 60-month term?</t>
        </is>
      </c>
      <c r="E111" s="58" t="inlineStr">
        <is>
          <t>v4: gpt-4o-mini + union retrieval (lender OR lender+intent)</t>
        </is>
      </c>
      <c r="F111" s="58" t="inlineStr">
        <is>
          <t>The maximum balloon on an Angle loan over a 60-month term is 30%. This information is derived from chunk_id angle_loan_structure.</t>
        </is>
      </c>
      <c r="G111" s="59" t="inlineStr">
        <is>
          <t>angle_loan_structure</t>
        </is>
      </c>
      <c r="H111" s="60" t="n">
        <v>1.02</v>
      </c>
      <c r="I111" s="61" t="n">
        <v>2053</v>
      </c>
      <c r="J111" s="62" t="n">
        <v>0.000321</v>
      </c>
    </row>
    <row r="112" ht="23.85" customHeight="1" s="44">
      <c r="A112" s="56" t="inlineStr">
        <is>
          <t>ANG-11</t>
        </is>
      </c>
      <c r="B112" s="66" t="inlineStr">
        <is>
          <t>Angle</t>
        </is>
      </c>
      <c r="C112" s="56" t="inlineStr">
        <is>
          <t>DOCUMENTATION</t>
        </is>
      </c>
      <c r="D112" s="56" t="inlineStr">
        <is>
          <t>What credit score does Angle require for Mid Doc, and what bank statements are needed?</t>
        </is>
      </c>
      <c r="E112" s="58" t="inlineStr">
        <is>
          <t>v4: gpt-4o-mini + union retrieval (lender OR lender+intent)</t>
        </is>
      </c>
      <c r="F112" s="58" t="inlineStr">
        <is>
          <t>For Mid Doc, Angle requires a credit score of 650+ for both individual and corporate applicants (chunk_id: angle_doc_types). The bank statement requirement for Mid Doc is 6 months of bank statements, and the pre-qualification guidelines include having no dishonoured payments for financial obligations, a maximum of 1 non-financial dishonour, an average monthly revenue of $20,000 across the 6-month period, and an average running balance must be at least 10% of monthly revenue (chunk_id: angle_doc_types).</t>
        </is>
      </c>
      <c r="G112" s="59" t="inlineStr">
        <is>
          <t>angle_doc_types</t>
        </is>
      </c>
      <c r="H112" s="60" t="n">
        <v>2.94</v>
      </c>
      <c r="I112" s="61" t="n">
        <v>2643</v>
      </c>
      <c r="J112" s="62" t="n">
        <v>0.000445</v>
      </c>
    </row>
    <row r="113" ht="23.85" customHeight="1" s="44">
      <c r="A113" s="56" t="inlineStr">
        <is>
          <t>ANG-12</t>
        </is>
      </c>
      <c r="B113" s="66" t="inlineStr">
        <is>
          <t>Angle</t>
        </is>
      </c>
      <c r="C113" s="56" t="inlineStr">
        <is>
          <t>PRICING</t>
        </is>
      </c>
      <c r="D113" s="56" t="inlineStr">
        <is>
          <t>What is Angle's headline rate for an 8+ year ABN, 4+ year GST customer buying primary assets?</t>
        </is>
      </c>
      <c r="E113" s="58" t="inlineStr">
        <is>
          <t>v4: gpt-4o-mini + union retrieval (lender OR lender+intent)</t>
        </is>
      </c>
      <c r="F113" s="58" t="inlineStr">
        <is>
          <t>Angle's headline rate for an 8+ year ABN, 4+ year GST customer buying primary assets is 7.79% per annum. This information comes from chunk_id [Source: angle_interest_rates].</t>
        </is>
      </c>
      <c r="G113" s="59" t="inlineStr">
        <is>
          <t>angle_interest_rates</t>
        </is>
      </c>
      <c r="H113" s="60" t="n">
        <v>1.11</v>
      </c>
      <c r="I113" s="61" t="n">
        <v>2474</v>
      </c>
      <c r="J113" s="62" t="n">
        <v>0.000391</v>
      </c>
    </row>
    <row r="114" ht="23.85" customHeight="1" s="44">
      <c r="A114" s="56" t="inlineStr">
        <is>
          <t>ANG-13</t>
        </is>
      </c>
      <c r="B114" s="66" t="inlineStr">
        <is>
          <t>Angle</t>
        </is>
      </c>
      <c r="C114" s="56" t="inlineStr">
        <is>
          <t>SPECIAL_PROGRAMS</t>
        </is>
      </c>
      <c r="D114" s="56" t="inlineStr">
        <is>
          <t>What ABN age and credit score does Angle require for Prime Movers, and what loading applies?</t>
        </is>
      </c>
      <c r="E114" s="58" t="inlineStr">
        <is>
          <t>v4: gpt-4o-mini + union retrieval (lender OR lender+intent)</t>
        </is>
      </c>
      <c r="F114" s="58" t="inlineStr">
        <is>
          <t>For Prime Movers, Angle Finance requires a minimum ABN age of 5 years and a minimum credit score of 600 or higher (Source: angle_prime_movers, chunk_id). A 1% rate loading will apply to standard primary asset rates (Source: angle_interest_rates, chunk_id).</t>
        </is>
      </c>
      <c r="G114" s="59" t="inlineStr">
        <is>
          <t>angle_prime_movers</t>
        </is>
      </c>
      <c r="H114" s="60" t="n">
        <v>1.5</v>
      </c>
      <c r="I114" s="61" t="n">
        <v>2422</v>
      </c>
      <c r="J114" s="62" t="n">
        <v>0.00039</v>
      </c>
    </row>
    <row r="115" ht="23.85" customHeight="1" s="44">
      <c r="A115" s="56" t="inlineStr">
        <is>
          <t>ANG-14</t>
        </is>
      </c>
      <c r="B115" s="66" t="inlineStr">
        <is>
          <t>Angle</t>
        </is>
      </c>
      <c r="C115" s="56" t="inlineStr">
        <is>
          <t>SPECIAL_PROGRAMS</t>
        </is>
      </c>
      <c r="D115" s="56" t="inlineStr">
        <is>
          <t>What bank statement history does Angle's Start-Up product require?</t>
        </is>
      </c>
      <c r="E115" s="58" t="inlineStr">
        <is>
          <t>v4: gpt-4o-mini + union retrieval (lender OR lender+intent)</t>
        </is>
      </c>
      <c r="F115" s="58" t="inlineStr">
        <is>
          <t>Angle's Start-Up product requires a minimum of 6 months of bank statements unless the ABN has been trading for less than 6 months. (chunk_id: angle_start_up)</t>
        </is>
      </c>
      <c r="G115" s="59" t="inlineStr">
        <is>
          <t>angle_start_up</t>
        </is>
      </c>
      <c r="H115" s="60" t="n">
        <v>1.06</v>
      </c>
      <c r="I115" s="61" t="n">
        <v>1670</v>
      </c>
      <c r="J115" s="62" t="n">
        <v>0.000267</v>
      </c>
    </row>
    <row r="116" ht="23.85" customHeight="1" s="44">
      <c r="A116" s="56" t="inlineStr">
        <is>
          <t>ANG-15</t>
        </is>
      </c>
      <c r="B116" s="66" t="inlineStr">
        <is>
          <t>Angle</t>
        </is>
      </c>
      <c r="C116" s="56" t="inlineStr">
        <is>
          <t>DOCUMENTATION</t>
        </is>
      </c>
      <c r="D116" s="56" t="inlineStr">
        <is>
          <t>What does Angle's Full Doc require for a transaction over $1 million?</t>
        </is>
      </c>
      <c r="E116" s="58" t="inlineStr">
        <is>
          <t>v4: gpt-4o-mini + union retrieval (lender OR lender+intent)</t>
        </is>
      </c>
      <c r="F116" s="58" t="inlineStr">
        <is>
          <t>For a transaction over $1 million, Angle's Full Doc requirements include:
- FY2024 + FY2023 accountant-prepared financials only (chunk_id: angle_doc_types)
- Commitment Schedule (chunk_id: angle_doc_types)
- Current ATO portal statements (last 12 months good payment history) (chunk_id: angle_doc_types)
- Detailed business background + list of major clients (chunk_id: angle_doc_types) 
These documents are essential for processing a Full Doc transaction over $1 million.</t>
        </is>
      </c>
      <c r="G116" s="59" t="inlineStr">
        <is>
          <t>angle_doc_types</t>
        </is>
      </c>
      <c r="H116" s="60" t="n">
        <v>1.79</v>
      </c>
      <c r="I116" s="61" t="n">
        <v>2316</v>
      </c>
      <c r="J116" s="62" t="n">
        <v>0.000394</v>
      </c>
    </row>
    <row r="117" ht="23.85" customHeight="1" s="44">
      <c r="A117" s="56" t="inlineStr">
        <is>
          <t>ANG-16</t>
        </is>
      </c>
      <c r="B117" s="66" t="inlineStr">
        <is>
          <t>Angle</t>
        </is>
      </c>
      <c r="C117" s="56" t="inlineStr">
        <is>
          <t>LOAN_LIMITS</t>
        </is>
      </c>
      <c r="D117" s="56" t="inlineStr">
        <is>
          <t>What is the maximum loan term Angle offers on a primary motor vehicle?</t>
        </is>
      </c>
      <c r="E117" s="58" t="inlineStr">
        <is>
          <t>v4: gpt-4o-mini + union retrieval (lender OR lender+intent)</t>
        </is>
      </c>
      <c r="F117" s="58" t="inlineStr">
        <is>
          <t>The maximum loan term Angle offers on a primary motor vehicle is 84 months (7 years) as per the loan structure by deal type, which states that primary assets can have terms of 36–84 months (chunk_id: angle_loan_structure).</t>
        </is>
      </c>
      <c r="G117" s="59" t="inlineStr">
        <is>
          <t>angle_loan_structure</t>
        </is>
      </c>
      <c r="H117" s="60" t="n">
        <v>1.25</v>
      </c>
      <c r="I117" s="61" t="n">
        <v>2116</v>
      </c>
      <c r="J117" s="62" t="n">
        <v>0.00034</v>
      </c>
    </row>
    <row r="118" ht="15" customHeight="1" s="44">
      <c r="A118" s="56" t="inlineStr">
        <is>
          <t>ANG-17</t>
        </is>
      </c>
      <c r="B118" s="66" t="inlineStr">
        <is>
          <t>Angle</t>
        </is>
      </c>
      <c r="C118" s="56" t="inlineStr">
        <is>
          <t>PRICING</t>
        </is>
      </c>
      <c r="D118" s="56" t="inlineStr">
        <is>
          <t>What is Angle's rate for a prime mover?</t>
        </is>
      </c>
      <c r="E118" s="58" t="inlineStr">
        <is>
          <t>v4: gpt-4o-mini + union retrieval (lender OR lender+intent)</t>
        </is>
      </c>
      <c r="F118" s="58" t="inlineStr">
        <is>
          <t>Angle finances Prime Movers starting from 8.99%, but the rate card indicates a starting point of 9.39% (chunk_id: angle_prime_movers). A 1% rate loading applies to standard primary asset rates for prime movers (chunk_id: angle_prime_movers).</t>
        </is>
      </c>
      <c r="G118" s="59" t="inlineStr">
        <is>
          <t>angle_interest_rates</t>
        </is>
      </c>
      <c r="H118" s="60" t="n">
        <v>1.24</v>
      </c>
      <c r="I118" s="61" t="n">
        <v>1900</v>
      </c>
      <c r="J118" s="62" t="n">
        <v>0.000311</v>
      </c>
    </row>
    <row r="119" ht="23.85" customHeight="1" s="44">
      <c r="A119" s="56" t="inlineStr">
        <is>
          <t>ANG-18</t>
        </is>
      </c>
      <c r="B119" s="66" t="inlineStr">
        <is>
          <t>Angle</t>
        </is>
      </c>
      <c r="C119" s="56" t="inlineStr">
        <is>
          <t>DOCUMENTATION</t>
        </is>
      </c>
      <c r="D119" s="56" t="inlineStr">
        <is>
          <t>What is the maximum motor vehicle finance amount under Angle's Low Doc?</t>
        </is>
      </c>
      <c r="E119" s="58" t="inlineStr">
        <is>
          <t>v4: gpt-4o-mini + union retrieval (lender OR lender+intent)</t>
        </is>
      </c>
      <c r="F119" s="58" t="inlineStr">
        <is>
          <t>The maximum motor vehicle finance amount under Angle's Low Doc is $250k, as stated in chunk_id "angle_doc_types".</t>
        </is>
      </c>
      <c r="G119" s="59" t="inlineStr">
        <is>
          <t>angle_doc_types</t>
        </is>
      </c>
      <c r="H119" s="60" t="n">
        <v>1.01</v>
      </c>
      <c r="I119" s="61" t="n">
        <v>2048</v>
      </c>
      <c r="J119" s="62" t="n">
        <v>0.000319</v>
      </c>
    </row>
    <row r="120" ht="15" customHeight="1" s="44">
      <c r="A120" s="56" t="inlineStr">
        <is>
          <t>ANG-19</t>
        </is>
      </c>
      <c r="B120" s="66" t="inlineStr">
        <is>
          <t>Angle</t>
        </is>
      </c>
      <c r="C120" s="56" t="inlineStr">
        <is>
          <t>ELIGIBILITY</t>
        </is>
      </c>
      <c r="D120" s="56" t="inlineStr">
        <is>
          <t>What proof of property ownership does Angle require?</t>
        </is>
      </c>
      <c r="E120" s="58" t="inlineStr">
        <is>
          <t>v4: gpt-4o-mini + union retrieval (lender OR lender+intent)</t>
        </is>
      </c>
      <c r="F120" s="58" t="inlineStr">
        <is>
          <t>Angle requires a rates notice for proof of property ownership, which must be dated within the last 3 months, or it can be provided alongside a recent utility bill. (chunk_id: angle_property_and_deposits)</t>
        </is>
      </c>
      <c r="G120" s="59" t="inlineStr">
        <is>
          <t>angle_property_and_deposits</t>
        </is>
      </c>
      <c r="H120" s="60" t="n">
        <v>1.08</v>
      </c>
      <c r="I120" s="61" t="n">
        <v>2303</v>
      </c>
      <c r="J120" s="62" t="n">
        <v>0.000365</v>
      </c>
    </row>
    <row r="121" ht="23.85" customHeight="1" s="44">
      <c r="A121" s="56" t="inlineStr">
        <is>
          <t>ANG-20</t>
        </is>
      </c>
      <c r="B121" s="66" t="inlineStr">
        <is>
          <t>Angle</t>
        </is>
      </c>
      <c r="C121" s="56" t="inlineStr">
        <is>
          <t>EXCLUSIONS</t>
        </is>
      </c>
      <c r="D121" s="56" t="inlineStr">
        <is>
          <t>Can an applicant with a paid financial default get finance from Angle?</t>
        </is>
      </c>
      <c r="E121" s="58" t="inlineStr">
        <is>
          <t>v4: gpt-4o-mini + union retrieval (lender OR lender+intent)</t>
        </is>
      </c>
      <c r="F121" s="58" t="inlineStr">
        <is>
          <t>An applicant with a paid financial default can get finance from Angle, as financial defaults on credit files (paid/unpaid) are acceptable for applications, except for telco or utility defaults if paid up to $2,500 (chunk_id: angle_exclusions). However, the applicant must still meet the minimum credit score requirement, which is below 500 (chunk_id: angle_exclusions). Therefore, the applicant must have a credit score of 500 or higher to qualify for finance (chunk_id: angle_exclusions).</t>
        </is>
      </c>
      <c r="G121" s="59" t="inlineStr">
        <is>
          <t>angle_exclusions</t>
        </is>
      </c>
      <c r="H121" s="60" t="n">
        <v>4.88</v>
      </c>
      <c r="I121" s="61" t="n">
        <v>1956</v>
      </c>
      <c r="J121" s="62" t="n">
        <v>0.00034</v>
      </c>
    </row>
    <row r="122" ht="23.85" customHeight="1" s="44">
      <c r="A122" s="56" t="inlineStr">
        <is>
          <t>ANG-21</t>
        </is>
      </c>
      <c r="B122" s="66" t="inlineStr">
        <is>
          <t>Angle</t>
        </is>
      </c>
      <c r="C122" s="56" t="inlineStr">
        <is>
          <t>SPECIAL_PROGRAMS</t>
        </is>
      </c>
      <c r="D122" s="56" t="inlineStr">
        <is>
          <t>Can a business with an ABN under 2 years get finance from Angle?</t>
        </is>
      </c>
      <c r="E122" s="58" t="inlineStr">
        <is>
          <t>v4: gpt-4o-mini + union retrieval (lender OR lender+intent)</t>
        </is>
      </c>
      <c r="F122" s="58" t="inlineStr">
        <is>
          <t>Yes, a business with an ABN under 2 years can get finance from Angle. Angle's Start-Up product specifically serves new business owners with an ABN under 2 years (chunk_id: angle_start_up).</t>
        </is>
      </c>
      <c r="G122" s="59" t="inlineStr">
        <is>
          <t>angle_start_up</t>
        </is>
      </c>
      <c r="H122" s="60" t="n">
        <v>4.13</v>
      </c>
      <c r="I122" s="61" t="n">
        <v>1973</v>
      </c>
      <c r="J122" s="62" t="n">
        <v>0.000316</v>
      </c>
    </row>
    <row r="123" ht="23.85" customHeight="1" s="44">
      <c r="A123" s="56" t="inlineStr">
        <is>
          <t>ANG-22</t>
        </is>
      </c>
      <c r="B123" s="66" t="inlineStr">
        <is>
          <t>Angle</t>
        </is>
      </c>
      <c r="C123" s="56" t="inlineStr">
        <is>
          <t>SPECIAL_PROGRAMS</t>
        </is>
      </c>
      <c r="D123" s="56" t="inlineStr">
        <is>
          <t>Can a sole trader finance a prime mover with Angle?</t>
        </is>
      </c>
      <c r="E123" s="58" t="inlineStr">
        <is>
          <t>v4: gpt-4o-mini + union retrieval (lender OR lender+intent)</t>
        </is>
      </c>
      <c r="F123" s="58" t="inlineStr">
        <is>
          <t>No, a sole trader cannot finance a prime mover with Angle. The qualifying criteria specify that only Company and Trust entities are accepted, and sole traders and individual partnerships are excluded (chunk_id: angle_prime_movers and angle_exclusions).</t>
        </is>
      </c>
      <c r="G123" s="59" t="inlineStr">
        <is>
          <t>angle_prime_movers</t>
        </is>
      </c>
      <c r="H123" s="60" t="n">
        <v>1.07</v>
      </c>
      <c r="I123" s="61" t="n">
        <v>1965</v>
      </c>
      <c r="J123" s="62" t="n">
        <v>0.000316</v>
      </c>
    </row>
    <row r="124" ht="23.85" customHeight="1" s="44">
      <c r="A124" s="56" t="inlineStr">
        <is>
          <t>ANG-23</t>
        </is>
      </c>
      <c r="B124" s="66" t="inlineStr">
        <is>
          <t>Angle</t>
        </is>
      </c>
      <c r="C124" s="56" t="inlineStr">
        <is>
          <t>SPECIAL_PROGRAMS</t>
        </is>
      </c>
      <c r="D124" s="56" t="inlineStr">
        <is>
          <t>Can a mortgage statement in a spouse's name be used as a credit reference at Angle?</t>
        </is>
      </c>
      <c r="E124" s="58" t="inlineStr">
        <is>
          <t>v4: gpt-4o-mini + union retrieval (lender OR lender+intent)</t>
        </is>
      </c>
      <c r="F124" s="58" t="inlineStr">
        <is>
          <t>This information is not available in the provided policy documents.</t>
        </is>
      </c>
      <c r="G124" s="59" t="inlineStr">
        <is>
          <t>angle_400k_low_doc</t>
        </is>
      </c>
      <c r="H124" s="60" t="n">
        <v>0.64</v>
      </c>
      <c r="I124" s="61" t="n">
        <v>2444</v>
      </c>
      <c r="J124" s="62" t="n">
        <v>0.000372</v>
      </c>
    </row>
    <row r="125" ht="15" customHeight="1" s="44">
      <c r="A125" s="56" t="inlineStr">
        <is>
          <t>ANG-24</t>
        </is>
      </c>
      <c r="B125" s="66" t="inlineStr">
        <is>
          <t>Angle</t>
        </is>
      </c>
      <c r="C125" s="56" t="inlineStr">
        <is>
          <t>FEES</t>
        </is>
      </c>
      <c r="D125" s="56" t="inlineStr">
        <is>
          <t>Does Angle charge a rate loading for brokerage?</t>
        </is>
      </c>
      <c r="E125" s="58" t="inlineStr">
        <is>
          <t>v4: gpt-4o-mini + union retrieval (lender OR lender+intent)</t>
        </is>
      </c>
      <c r="F125" s="58" t="inlineStr">
        <is>
          <t>This information is not available in the provided policy documents.</t>
        </is>
      </c>
      <c r="G125" s="59" t="inlineStr">
        <is>
          <t>angle_fees_brokerage</t>
        </is>
      </c>
      <c r="H125" s="60" t="n">
        <v>0.8100000000000001</v>
      </c>
      <c r="I125" s="61" t="n">
        <v>2071</v>
      </c>
      <c r="J125" s="62" t="n">
        <v>0.000316</v>
      </c>
    </row>
    <row r="126" ht="15" customHeight="1" s="44">
      <c r="A126" s="56" t="inlineStr">
        <is>
          <t>ANG-25</t>
        </is>
      </c>
      <c r="B126" s="66" t="inlineStr">
        <is>
          <t>Angle</t>
        </is>
      </c>
      <c r="C126" s="56" t="inlineStr">
        <is>
          <t>PRICING</t>
        </is>
      </c>
      <c r="D126" s="56" t="inlineStr">
        <is>
          <t>Does Angle apply a rate loading to private sales?</t>
        </is>
      </c>
      <c r="E126" s="58" t="inlineStr">
        <is>
          <t>v4: gpt-4o-mini + union retrieval (lender OR lender+intent)</t>
        </is>
      </c>
      <c r="F126" s="58" t="inlineStr">
        <is>
          <t>This information is not available in the provided policy documents.</t>
        </is>
      </c>
      <c r="G126" s="59" t="inlineStr">
        <is>
          <t>angle_interest_rates</t>
        </is>
      </c>
      <c r="H126" s="60" t="n">
        <v>0.78</v>
      </c>
      <c r="I126" s="61" t="n">
        <v>1990</v>
      </c>
      <c r="J126" s="62" t="n">
        <v>0.000303</v>
      </c>
    </row>
    <row r="127" ht="23.85" customHeight="1" s="44">
      <c r="A127" s="56" t="inlineStr">
        <is>
          <t>MET-01</t>
        </is>
      </c>
      <c r="B127" s="67" t="inlineStr">
        <is>
          <t>Metro</t>
        </is>
      </c>
      <c r="C127" s="56" t="inlineStr">
        <is>
          <t>PRICING</t>
        </is>
      </c>
      <c r="D127" s="56" t="inlineStr">
        <is>
          <t>What is Metro's prime rate for a passenger vehicle under 5 years old?</t>
        </is>
      </c>
      <c r="E127" s="58" t="inlineStr">
        <is>
          <t>v4: gpt-4o-mini + union retrieval (lender OR lender+intent)</t>
        </is>
      </c>
      <c r="F127" s="58" t="inlineStr">
        <is>
          <t>Metro's prime rate for a passenger vehicle under 5 years old is **8.35%**. This rate applies to vehicles that are part of the dealer sale, all passenger and commercial vehicles under 12t GVM, and are valued over $20,000 (chunk_id: metro_interest_rates).</t>
        </is>
      </c>
      <c r="G127" s="59" t="inlineStr">
        <is>
          <t>metro_interest_rates</t>
        </is>
      </c>
      <c r="H127" s="60" t="n">
        <v>1.57</v>
      </c>
      <c r="I127" s="61" t="n">
        <v>2834</v>
      </c>
      <c r="J127" s="62" t="n">
        <v>0.000453</v>
      </c>
    </row>
    <row r="128" ht="23.85" customHeight="1" s="44">
      <c r="A128" s="56" t="inlineStr">
        <is>
          <t>MET-02</t>
        </is>
      </c>
      <c r="B128" s="67" t="inlineStr">
        <is>
          <t>Metro</t>
        </is>
      </c>
      <c r="C128" s="56" t="inlineStr">
        <is>
          <t>PRICING</t>
        </is>
      </c>
      <c r="D128" s="56" t="inlineStr">
        <is>
          <t>What loadings does Metro apply for older assets and private sales?</t>
        </is>
      </c>
      <c r="E128" s="58" t="inlineStr">
        <is>
          <t>v4: gpt-4o-mini + union retrieval (lender OR lender+intent)</t>
        </is>
      </c>
      <c r="F128" s="58" t="inlineStr">
        <is>
          <t>Metro applies the following loadings:
1. For assets older than 5 years at the beginning of the term: add extra 0.75% (chunk_id: metro_interest_rates).
2. For assets older than 10 years at the end of the term: add extra 1.50% (chunk_id: metro_interest_rates).
3. For private sales: add extra 0.25% (chunk_id: metro_interest_rates).
Please let me know if you have any further questions!</t>
        </is>
      </c>
      <c r="G128" s="59" t="inlineStr">
        <is>
          <t>metro_interest_rates</t>
        </is>
      </c>
      <c r="H128" s="60" t="n">
        <v>1.79</v>
      </c>
      <c r="I128" s="61" t="n">
        <v>2635</v>
      </c>
      <c r="J128" s="62" t="n">
        <v>0.000441</v>
      </c>
    </row>
    <row r="129" ht="23.85" customHeight="1" s="44">
      <c r="A129" s="56" t="inlineStr">
        <is>
          <t>MET-03</t>
        </is>
      </c>
      <c r="B129" s="67" t="inlineStr">
        <is>
          <t>Metro</t>
        </is>
      </c>
      <c r="C129" s="56" t="inlineStr">
        <is>
          <t>SPECIAL_PROGRAMS</t>
        </is>
      </c>
      <c r="D129" s="56" t="inlineStr">
        <is>
          <t>What deposit does Metro require for a non-property backed passenger vehicle loan?</t>
        </is>
      </c>
      <c r="E129" s="58" t="inlineStr">
        <is>
          <t>v4: gpt-4o-mini + union retrieval (lender OR lender+intent)</t>
        </is>
      </c>
      <c r="F129" s="58" t="inlineStr">
        <is>
          <t>Metro requires a 30% deposit for a non-property backed passenger vehicle loan (chunk_id: metro_passenger_vehicle_streamlined).</t>
        </is>
      </c>
      <c r="G129" s="59" t="inlineStr">
        <is>
          <t>metro_passenger_vehicle_streamlined</t>
        </is>
      </c>
      <c r="H129" s="60" t="n">
        <v>1.08</v>
      </c>
      <c r="I129" s="61" t="n">
        <v>2538</v>
      </c>
      <c r="J129" s="62" t="n">
        <v>0.000392</v>
      </c>
    </row>
    <row r="130" ht="23.85" customHeight="1" s="44">
      <c r="A130" s="56" t="inlineStr">
        <is>
          <t>MET-04</t>
        </is>
      </c>
      <c r="B130" s="67" t="inlineStr">
        <is>
          <t>Metro</t>
        </is>
      </c>
      <c r="C130" s="56" t="inlineStr">
        <is>
          <t>LOAN_LIMITS</t>
        </is>
      </c>
      <c r="D130" s="56" t="inlineStr">
        <is>
          <t>What Metro exposure applies to a customer with 24 months of good repayment history?</t>
        </is>
      </c>
      <c r="E130" s="58" t="inlineStr">
        <is>
          <t>v4: gpt-4o-mini + union retrieval (lender OR lender+intent)</t>
        </is>
      </c>
      <c r="F130" s="58" t="inlineStr">
        <is>
          <t>For a customer with 24 months of good repayment history with Metro, the maximum exposure is $750,000. This information comes from chunk_id [Source: metro_passenger_vehicle_streamlined].</t>
        </is>
      </c>
      <c r="G130" s="59" t="inlineStr">
        <is>
          <t>metro_passenger_vehicle_streamlined</t>
        </is>
      </c>
      <c r="H130" s="60" t="n">
        <v>1.32</v>
      </c>
      <c r="I130" s="61" t="n">
        <v>2718</v>
      </c>
      <c r="J130" s="62" t="n">
        <v>0.000425</v>
      </c>
    </row>
    <row r="131" ht="23.85" customHeight="1" s="44">
      <c r="A131" s="56" t="inlineStr">
        <is>
          <t>MET-05</t>
        </is>
      </c>
      <c r="B131" s="67" t="inlineStr">
        <is>
          <t>Metro</t>
        </is>
      </c>
      <c r="C131" s="56" t="inlineStr">
        <is>
          <t>ASSET_ELIGIBILITY</t>
        </is>
      </c>
      <c r="D131" s="56" t="inlineStr">
        <is>
          <t>Are prime movers eligible under Metro's Trucks, Trailers &amp; Wheeled Equipment streamlined product?</t>
        </is>
      </c>
      <c r="E131" s="58" t="inlineStr">
        <is>
          <t>v4: gpt-4o-mini + union retrieval (lender OR lender+intent)</t>
        </is>
      </c>
      <c r="F131" s="58" t="inlineStr">
        <is>
          <t>Prime movers are **not eligible** under Metro's Trucks, Trailers &amp; Wheeled Equipment streamlined product (chunk_id: metro_trucks_trailers_streamlined).</t>
        </is>
      </c>
      <c r="G131" s="59" t="inlineStr">
        <is>
          <t>metro_trucks_trailers_streamlined</t>
        </is>
      </c>
      <c r="H131" s="60" t="n">
        <v>1.17</v>
      </c>
      <c r="I131" s="61" t="n">
        <v>2445</v>
      </c>
      <c r="J131" s="62" t="n">
        <v>0.000382</v>
      </c>
    </row>
    <row r="132" ht="23.85" customHeight="1" s="44">
      <c r="A132" s="56" t="inlineStr">
        <is>
          <t>MET-06</t>
        </is>
      </c>
      <c r="B132" s="67" t="inlineStr">
        <is>
          <t>Metro</t>
        </is>
      </c>
      <c r="C132" s="56" t="inlineStr">
        <is>
          <t>SPECIAL_PROGRAMS</t>
        </is>
      </c>
      <c r="D132" s="56" t="inlineStr">
        <is>
          <t>What GST registration and farm size does Metro require under the Agri streamlined product?</t>
        </is>
      </c>
      <c r="E132" s="58" t="inlineStr">
        <is>
          <t>v4: gpt-4o-mini + union retrieval (lender OR lender+intent)</t>
        </is>
      </c>
      <c r="F132" s="58" t="inlineStr">
        <is>
          <t>Metro requires a business GST registration that has been active for more than 5 years (chunk_id: metro_agri_streamlined). Additionally, the minimum farm size required is 40 hectares (chunk_id: metro_agri_streamlined).</t>
        </is>
      </c>
      <c r="G132" s="59" t="inlineStr">
        <is>
          <t>metro_agri_streamlined</t>
        </is>
      </c>
      <c r="H132" s="60" t="n">
        <v>1.07</v>
      </c>
      <c r="I132" s="61" t="n">
        <v>2587</v>
      </c>
      <c r="J132" s="62" t="n">
        <v>0.000409</v>
      </c>
    </row>
    <row r="133" ht="23.85" customHeight="1" s="44">
      <c r="A133" s="56" t="inlineStr">
        <is>
          <t>MET-07</t>
        </is>
      </c>
      <c r="B133" s="67" t="inlineStr">
        <is>
          <t>Metro</t>
        </is>
      </c>
      <c r="C133" s="56" t="inlineStr">
        <is>
          <t>ASSET_ELIGIBILITY</t>
        </is>
      </c>
      <c r="D133" s="56" t="inlineStr">
        <is>
          <t>Can Metro finance equipment under the Other Equipment streamlined product via private sale?</t>
        </is>
      </c>
      <c r="E133" s="58" t="inlineStr">
        <is>
          <t>v4: gpt-4o-mini + union retrieval (lender OR lender+intent)</t>
        </is>
      </c>
      <c r="F133" s="58" t="inlineStr">
        <is>
          <t>No, Metro does not finance equipment under the Other Equipment streamlined product via private sale. This is stated in the policy excerpt, which specifies "**no private sale** or sale/hire back" as part of the conditions for the Other Equipment streamlined product (chunk_id: metro_other_equipment_streamlined).</t>
        </is>
      </c>
      <c r="G133" s="59" t="inlineStr">
        <is>
          <t>metro_other_equipment_streamlined</t>
        </is>
      </c>
      <c r="H133" s="60" t="n">
        <v>1.79</v>
      </c>
      <c r="I133" s="61" t="n">
        <v>2588</v>
      </c>
      <c r="J133" s="62" t="n">
        <v>0.000415</v>
      </c>
    </row>
    <row r="134" ht="23.85" customHeight="1" s="44">
      <c r="A134" s="56" t="inlineStr">
        <is>
          <t>MET-08</t>
        </is>
      </c>
      <c r="B134" s="67" t="inlineStr">
        <is>
          <t>Metro</t>
        </is>
      </c>
      <c r="C134" s="56" t="inlineStr">
        <is>
          <t>SPECIAL_PROGRAMS</t>
        </is>
      </c>
      <c r="D134" s="56" t="inlineStr">
        <is>
          <t>Under Metro's Replacement Policy, how long must the contract being replaced have run?</t>
        </is>
      </c>
      <c r="E134" s="58" t="inlineStr">
        <is>
          <t>v4: gpt-4o-mini + union retrieval (lender OR lender+intent)</t>
        </is>
      </c>
      <c r="F134" s="58" t="inlineStr">
        <is>
          <t>Under Metro's Replacement Policy, the contract being replaced must have run for a **minimum of 36 months** (chunk_id: metro_replacement_policy).</t>
        </is>
      </c>
      <c r="G134" s="59" t="inlineStr">
        <is>
          <t>metro_replacement_policy</t>
        </is>
      </c>
      <c r="H134" s="60" t="n">
        <v>1.02</v>
      </c>
      <c r="I134" s="61" t="n">
        <v>3590</v>
      </c>
      <c r="J134" s="62" t="n">
        <v>0.000552</v>
      </c>
    </row>
    <row r="135" ht="23.85" customHeight="1" s="44">
      <c r="A135" s="56" t="inlineStr">
        <is>
          <t>MET-09</t>
        </is>
      </c>
      <c r="B135" s="67" t="inlineStr">
        <is>
          <t>Metro</t>
        </is>
      </c>
      <c r="C135" s="56" t="inlineStr">
        <is>
          <t>SPECIAL_PROGRAMS</t>
        </is>
      </c>
      <c r="D135" s="56" t="inlineStr">
        <is>
          <t>What rate discount and loan term apply to MetroEco electric trucks?</t>
        </is>
      </c>
      <c r="E135" s="58" t="inlineStr">
        <is>
          <t>v4: gpt-4o-mini + union retrieval (lender OR lender+intent)</t>
        </is>
      </c>
      <c r="F135" s="58" t="inlineStr">
        <is>
          <t>The MetroEco rate discount that applies to electric trucks is 1% (chunk_id: metro_eco). The loan term available for electric trucks is up to 60 months, with a maximum end-of-term of 5 years (chunk_id: metro_eco).</t>
        </is>
      </c>
      <c r="G135" s="59" t="inlineStr">
        <is>
          <t>metro_eco</t>
        </is>
      </c>
      <c r="H135" s="60" t="n">
        <v>1.16</v>
      </c>
      <c r="I135" s="61" t="n">
        <v>2704</v>
      </c>
      <c r="J135" s="62" t="n">
        <v>0.00043</v>
      </c>
    </row>
    <row r="136" ht="23.85" customHeight="1" s="44">
      <c r="A136" s="56" t="inlineStr">
        <is>
          <t>MET-10</t>
        </is>
      </c>
      <c r="B136" s="67" t="inlineStr">
        <is>
          <t>Metro</t>
        </is>
      </c>
      <c r="C136" s="56" t="inlineStr">
        <is>
          <t>EXCLUSIONS</t>
        </is>
      </c>
      <c r="D136" s="56" t="inlineStr">
        <is>
          <t>What is Metro's maximum lending in a 12-month period under streamlined products?</t>
        </is>
      </c>
      <c r="E136" s="58" t="inlineStr">
        <is>
          <t>v4: gpt-4o-mini + union retrieval (lender OR lender+intent)</t>
        </is>
      </c>
      <c r="F136" s="58" t="inlineStr">
        <is>
          <t>Metro's maximum lending in a 12-month period under streamlined products is $500,000. This fact comes from chunk_id [Source: metro_exclusions | Lender: METRO].</t>
        </is>
      </c>
      <c r="G136" s="59" t="inlineStr">
        <is>
          <t>metro_exclusions</t>
        </is>
      </c>
      <c r="H136" s="60" t="n">
        <v>1.78</v>
      </c>
      <c r="I136" s="61" t="n">
        <v>3126</v>
      </c>
      <c r="J136" s="62" t="n">
        <v>0.000486</v>
      </c>
    </row>
    <row r="137" ht="23.85" customHeight="1" s="44">
      <c r="A137" s="56" t="inlineStr">
        <is>
          <t>MET-11</t>
        </is>
      </c>
      <c r="B137" s="67" t="inlineStr">
        <is>
          <t>Metro</t>
        </is>
      </c>
      <c r="C137" s="56" t="inlineStr">
        <is>
          <t>LOAN_LIMITS</t>
        </is>
      </c>
      <c r="D137" s="56" t="inlineStr">
        <is>
          <t>What is the maximum loan for a new Metro customer buying a truck, and what is the private sale cap?</t>
        </is>
      </c>
      <c r="E137" s="58" t="inlineStr">
        <is>
          <t>v4: gpt-4o-mini + union retrieval (lender OR lender+intent)</t>
        </is>
      </c>
      <c r="F137" s="58" t="inlineStr">
        <is>
          <t>The maximum loan for a new Metro customer buying a truck is $250,000 for dealer and private sale (chunk_id: metro_trucks_trailers_streamlined). The private sale cap is also $250,000 (chunk_id: metro_trucks_trailers_streamlined).</t>
        </is>
      </c>
      <c r="G137" s="59" t="inlineStr">
        <is>
          <t>metro_trucks_trailers_streamlined</t>
        </is>
      </c>
      <c r="H137" s="60" t="n">
        <v>1.65</v>
      </c>
      <c r="I137" s="61" t="n">
        <v>2536</v>
      </c>
      <c r="J137" s="62" t="n">
        <v>0.000406</v>
      </c>
    </row>
    <row r="138" ht="23.85" customHeight="1" s="44">
      <c r="A138" s="56" t="inlineStr">
        <is>
          <t>MET-12</t>
        </is>
      </c>
      <c r="B138" s="67" t="inlineStr">
        <is>
          <t>Metro</t>
        </is>
      </c>
      <c r="C138" s="56" t="inlineStr">
        <is>
          <t>ASSET_ELIGIBILITY</t>
        </is>
      </c>
      <c r="D138" s="56" t="inlineStr">
        <is>
          <t>What is the maximum asset age at end of term for a Metro passenger vehicle?</t>
        </is>
      </c>
      <c r="E138" s="58" t="inlineStr">
        <is>
          <t>v4: gpt-4o-mini + union retrieval (lender OR lender+intent)</t>
        </is>
      </c>
      <c r="F138" s="58" t="inlineStr">
        <is>
          <t>The maximum asset age at the end of the term for a Metro passenger vehicle is no older than 12 years at the end of term. This information comes from chunk_id [Source: metro_passenger_vehicle_streamlined].</t>
        </is>
      </c>
      <c r="G138" s="59" t="inlineStr">
        <is>
          <t>metro_passenger_vehicle_streamlined</t>
        </is>
      </c>
      <c r="H138" s="60" t="n">
        <v>1.31</v>
      </c>
      <c r="I138" s="61" t="n">
        <v>2677</v>
      </c>
      <c r="J138" s="62" t="n">
        <v>0.000421</v>
      </c>
    </row>
    <row r="139" ht="23.85" customHeight="1" s="44">
      <c r="A139" s="56" t="inlineStr">
        <is>
          <t>MET-13</t>
        </is>
      </c>
      <c r="B139" s="67" t="inlineStr">
        <is>
          <t>Metro</t>
        </is>
      </c>
      <c r="C139" s="56" t="inlineStr">
        <is>
          <t>SPECIAL_PROGRAMS</t>
        </is>
      </c>
      <c r="D139" s="56" t="inlineStr">
        <is>
          <t>What is the maximum loan under Metro's Replacement Policy for medium and heavy commercial vehicles?</t>
        </is>
      </c>
      <c r="E139" s="58" t="inlineStr">
        <is>
          <t>v4: gpt-4o-mini + union retrieval (lender OR lender+intent)</t>
        </is>
      </c>
      <c r="F139" s="58" t="inlineStr">
        <is>
          <t>The maximum loan size under Metro's Replacement Policy for medium and heavy commercial vehicles is $300,000 for dealer sales and $250,000 for private sales, excluding prime movers (chunk_id: metro_replacement_policy).</t>
        </is>
      </c>
      <c r="G139" s="59" t="inlineStr">
        <is>
          <t>metro_replacement_policy</t>
        </is>
      </c>
      <c r="H139" s="60" t="n">
        <v>1.18</v>
      </c>
      <c r="I139" s="61" t="n">
        <v>2817</v>
      </c>
      <c r="J139" s="62" t="n">
        <v>0.000442</v>
      </c>
    </row>
    <row r="140" ht="23.85" customHeight="1" s="44">
      <c r="A140" s="56" t="inlineStr">
        <is>
          <t>MET-14</t>
        </is>
      </c>
      <c r="B140" s="67" t="inlineStr">
        <is>
          <t>Metro</t>
        </is>
      </c>
      <c r="C140" s="56" t="inlineStr">
        <is>
          <t>SPECIAL_PROGRAMS</t>
        </is>
      </c>
      <c r="D140" s="56" t="inlineStr">
        <is>
          <t>What loan term does MetroEco offer for a commercial electric vehicle?</t>
        </is>
      </c>
      <c r="E140" s="58" t="inlineStr">
        <is>
          <t>v4: gpt-4o-mini + union retrieval (lender OR lender+intent)</t>
        </is>
      </c>
      <c r="F140" s="58" t="inlineStr">
        <is>
          <t>MetroEco offers a loan term of 60 months for commercial electric vehicles (with a maximum end of term of 5 years) (chunk_id: metro_eco).</t>
        </is>
      </c>
      <c r="G140" s="59" t="inlineStr">
        <is>
          <t>metro_eco</t>
        </is>
      </c>
      <c r="H140" s="60" t="n">
        <v>0.98</v>
      </c>
      <c r="I140" s="61" t="n">
        <v>2684</v>
      </c>
      <c r="J140" s="62" t="n">
        <v>0.000418</v>
      </c>
    </row>
    <row r="141" ht="23.85" customHeight="1" s="44">
      <c r="A141" s="56" t="inlineStr">
        <is>
          <t>MET-15</t>
        </is>
      </c>
      <c r="B141" s="67" t="inlineStr">
        <is>
          <t>Metro</t>
        </is>
      </c>
      <c r="C141" s="56" t="inlineStr">
        <is>
          <t>LOAN_LIMITS</t>
        </is>
      </c>
      <c r="D141" s="56" t="inlineStr">
        <is>
          <t>What is the maximum loan for agricultural implements under Metro's Agri product?</t>
        </is>
      </c>
      <c r="E141" s="58" t="inlineStr">
        <is>
          <t>v4: gpt-4o-mini + union retrieval (lender OR lender+intent)</t>
        </is>
      </c>
      <c r="F141" s="58" t="inlineStr">
        <is>
          <t>The maximum loan for agricultural implements under Metro's Agri product is $150,000 for dealer/private sales (chunk_id: metro_agri_streamlined).</t>
        </is>
      </c>
      <c r="G141" s="59" t="inlineStr">
        <is>
          <t>metro_agri_streamlined</t>
        </is>
      </c>
      <c r="H141" s="60" t="n">
        <v>1.18</v>
      </c>
      <c r="I141" s="61" t="n">
        <v>2613</v>
      </c>
      <c r="J141" s="62" t="n">
        <v>0.000406</v>
      </c>
    </row>
    <row r="142" ht="15" customHeight="1" s="44">
      <c r="A142" s="56" t="inlineStr">
        <is>
          <t>MET-16</t>
        </is>
      </c>
      <c r="B142" s="67" t="inlineStr">
        <is>
          <t>Metro</t>
        </is>
      </c>
      <c r="C142" s="56" t="inlineStr">
        <is>
          <t>PRICING</t>
        </is>
      </c>
      <c r="D142" s="56" t="inlineStr">
        <is>
          <t>How does brokerage above 4% affect a Metro rate?</t>
        </is>
      </c>
      <c r="E142" s="58" t="inlineStr">
        <is>
          <t>v4: gpt-4o-mini + union retrieval (lender OR lender+intent)</t>
        </is>
      </c>
      <c r="F142" s="58" t="inlineStr">
        <is>
          <t>Brokerage above 4.0% affects a Metro rate by requiring an additional 0.5% to be added for every 1% of brokerage over the 4% threshold. (Source: metro_interest_rates, chunk_id)</t>
        </is>
      </c>
      <c r="G142" s="59" t="inlineStr">
        <is>
          <t>metro_interest_rates</t>
        </is>
      </c>
      <c r="H142" s="60" t="n">
        <v>1.39</v>
      </c>
      <c r="I142" s="61" t="n">
        <v>2623</v>
      </c>
      <c r="J142" s="62" t="n">
        <v>0.000415</v>
      </c>
    </row>
    <row r="143" ht="15" customHeight="1" s="44">
      <c r="A143" s="56" t="inlineStr">
        <is>
          <t>MET-17</t>
        </is>
      </c>
      <c r="B143" s="67" t="inlineStr">
        <is>
          <t>Metro</t>
        </is>
      </c>
      <c r="C143" s="56" t="inlineStr">
        <is>
          <t>FEES</t>
        </is>
      </c>
      <c r="D143" s="56" t="inlineStr">
        <is>
          <t>What fees does Metro charge?</t>
        </is>
      </c>
      <c r="E143" s="58" t="inlineStr">
        <is>
          <t>v4: gpt-4o-mini + union retrieval (lender OR lender+intent)</t>
        </is>
      </c>
      <c r="F143" s="58" t="inlineStr">
        <is>
          <t>This information is not available in the provided policy documents.</t>
        </is>
      </c>
      <c r="G143" s="59" t="inlineStr">
        <is>
          <t>metro_interest_rates</t>
        </is>
      </c>
      <c r="H143" s="60" t="n">
        <v>1.52</v>
      </c>
      <c r="I143" s="61" t="n">
        <v>2720</v>
      </c>
      <c r="J143" s="62" t="n">
        <v>0.000413</v>
      </c>
    </row>
    <row r="144" ht="23.85" customHeight="1" s="44">
      <c r="A144" s="56" t="inlineStr">
        <is>
          <t>MET-18</t>
        </is>
      </c>
      <c r="B144" s="67" t="inlineStr">
        <is>
          <t>Metro</t>
        </is>
      </c>
      <c r="C144" s="56" t="inlineStr">
        <is>
          <t>SPECIAL_PROGRAMS</t>
        </is>
      </c>
      <c r="D144" s="56" t="inlineStr">
        <is>
          <t>When must a contract be to qualify for Metro's Balloon/Residual Refinance product?</t>
        </is>
      </c>
      <c r="E144" s="58" t="inlineStr">
        <is>
          <t>v4: gpt-4o-mini + union retrieval (lender OR lender+intent)</t>
        </is>
      </c>
      <c r="F144" s="58" t="inlineStr">
        <is>
          <t>To qualify for Metro's Balloon/Residual Refinance product, the account being replaced must be in its final 12 months. (chunk_id: metro_balloon_refinance)</t>
        </is>
      </c>
      <c r="G144" s="59" t="inlineStr">
        <is>
          <t>metro_balloon_refinance</t>
        </is>
      </c>
      <c r="H144" s="60" t="n">
        <v>1.03</v>
      </c>
      <c r="I144" s="61" t="n">
        <v>2469</v>
      </c>
      <c r="J144" s="62" t="n">
        <v>0.000387</v>
      </c>
    </row>
    <row r="145" ht="23.85" customHeight="1" s="44">
      <c r="A145" s="56" t="inlineStr">
        <is>
          <t>MET-19</t>
        </is>
      </c>
      <c r="B145" s="67" t="inlineStr">
        <is>
          <t>Metro</t>
        </is>
      </c>
      <c r="C145" s="56" t="inlineStr">
        <is>
          <t>EXCLUSIONS</t>
        </is>
      </c>
      <c r="D145" s="56" t="inlineStr">
        <is>
          <t>Does Metro finance dairy and irrigation equipment under the Agri product?</t>
        </is>
      </c>
      <c r="E145" s="58" t="inlineStr">
        <is>
          <t>v4: gpt-4o-mini + union retrieval (lender OR lender+intent)</t>
        </is>
      </c>
      <c r="F145" s="58" t="inlineStr">
        <is>
          <t>No, Metro does not finance dairy equipment or irrigation equipment under the Agri product. This is stated in chunk_id sourced from metro_agri_streamlined: "Excluded: dairy equipment; irrigation equipment" (chunk_id: 1).</t>
        </is>
      </c>
      <c r="G145" s="59" t="inlineStr">
        <is>
          <t>metro_agri_streamlined</t>
        </is>
      </c>
      <c r="H145" s="60" t="n">
        <v>1.03</v>
      </c>
      <c r="I145" s="61" t="n">
        <v>2534</v>
      </c>
      <c r="J145" s="62" t="n">
        <v>0.000401</v>
      </c>
    </row>
    <row r="146" ht="23.85" customHeight="1" s="44">
      <c r="A146" s="56" t="inlineStr">
        <is>
          <t>MET-20</t>
        </is>
      </c>
      <c r="B146" s="67" t="inlineStr">
        <is>
          <t>Metro</t>
        </is>
      </c>
      <c r="C146" s="56" t="inlineStr">
        <is>
          <t>ELIGIBILITY</t>
        </is>
      </c>
      <c r="D146" s="56" t="inlineStr">
        <is>
          <t>What GST registration does Metro require for the passenger vehicle streamlined product?</t>
        </is>
      </c>
      <c r="E146" s="58" t="inlineStr">
        <is>
          <t>v4: gpt-4o-mini + union retrieval (lender OR lender+intent)</t>
        </is>
      </c>
      <c r="F146" s="58" t="inlineStr">
        <is>
          <t>This information is not available in the provided policy documents.</t>
        </is>
      </c>
      <c r="G146" s="59" t="inlineStr">
        <is>
          <t>metro_passenger_vehicle_streamlined</t>
        </is>
      </c>
      <c r="H146" s="60" t="n">
        <v>1.34</v>
      </c>
      <c r="I146" s="61" t="n">
        <v>2688</v>
      </c>
      <c r="J146" s="62" t="n">
        <v>0.000408</v>
      </c>
    </row>
    <row r="147" ht="23.85" customHeight="1" s="44">
      <c r="A147" s="56" t="inlineStr">
        <is>
          <t>MET-21</t>
        </is>
      </c>
      <c r="B147" s="67" t="inlineStr">
        <is>
          <t>Metro</t>
        </is>
      </c>
      <c r="C147" s="56" t="inlineStr">
        <is>
          <t>EXCLUSIONS</t>
        </is>
      </c>
      <c r="D147" s="56" t="inlineStr">
        <is>
          <t>Does Metro allow sale and hire back under its streamlined products?</t>
        </is>
      </c>
      <c r="E147" s="58" t="inlineStr">
        <is>
          <t>v4: gpt-4o-mini + union retrieval (lender OR lender+intent)</t>
        </is>
      </c>
      <c r="F147" s="58" t="inlineStr">
        <is>
          <t>Metro does not allow sale and hire back across streamlined products (chunk_id: metro_exclusions).</t>
        </is>
      </c>
      <c r="G147" s="59" t="inlineStr">
        <is>
          <t>metro_exclusions</t>
        </is>
      </c>
      <c r="H147" s="60" t="n">
        <v>1.28</v>
      </c>
      <c r="I147" s="61" t="n">
        <v>2488</v>
      </c>
      <c r="J147" s="62" t="n">
        <v>0.000382</v>
      </c>
    </row>
    <row r="148" ht="23.85" customHeight="1" s="44">
      <c r="A148" s="56" t="inlineStr">
        <is>
          <t>MET-22</t>
        </is>
      </c>
      <c r="B148" s="67" t="inlineStr">
        <is>
          <t>Metro</t>
        </is>
      </c>
      <c r="C148" s="56" t="inlineStr">
        <is>
          <t>ASSET_ELIGIBILITY</t>
        </is>
      </c>
      <c r="D148" s="56" t="inlineStr">
        <is>
          <t>Can Metro finance IT and audio-visual equipment under the Other Equipment product?</t>
        </is>
      </c>
      <c r="E148" s="58" t="inlineStr">
        <is>
          <t>v4: gpt-4o-mini + union retrieval (lender OR lender+intent)</t>
        </is>
      </c>
      <c r="F148" s="58" t="inlineStr">
        <is>
          <t>No, Metro does not finance IT and audio-visual equipment under the Other Equipment product. This information comes from chunk_id [Source: metro_exclusions | Lender: METRO], which lists non-eligible equipment as including IT, AV, telephony &amp; printing.</t>
        </is>
      </c>
      <c r="G148" s="59" t="inlineStr">
        <is>
          <t>metro_other_equipment_streamlined</t>
        </is>
      </c>
      <c r="H148" s="60" t="n">
        <v>1.26</v>
      </c>
      <c r="I148" s="61" t="n">
        <v>2583</v>
      </c>
      <c r="J148" s="62" t="n">
        <v>0.000412</v>
      </c>
    </row>
    <row r="149" ht="23.85" customHeight="1" s="44">
      <c r="A149" s="56" t="inlineStr">
        <is>
          <t>MET-23</t>
        </is>
      </c>
      <c r="B149" s="67" t="inlineStr">
        <is>
          <t>Metro</t>
        </is>
      </c>
      <c r="C149" s="56" t="inlineStr">
        <is>
          <t>SPECIAL_PROGRAMS</t>
        </is>
      </c>
      <c r="D149" s="56" t="inlineStr">
        <is>
          <t>Does MetroEco finance hybrid vehicles?</t>
        </is>
      </c>
      <c r="E149" s="58" t="inlineStr">
        <is>
          <t>v4: gpt-4o-mini + union retrieval (lender OR lender+intent)</t>
        </is>
      </c>
      <c r="F149" s="58" t="inlineStr">
        <is>
          <t>This information is not available in the provided policy documents.</t>
        </is>
      </c>
      <c r="G149" s="59" t="inlineStr">
        <is>
          <t>metro_eco</t>
        </is>
      </c>
      <c r="H149" s="60" t="n">
        <v>5.72</v>
      </c>
      <c r="I149" s="61" t="n">
        <v>2556</v>
      </c>
      <c r="J149" s="62" t="n">
        <v>0.000388</v>
      </c>
    </row>
    <row r="150" ht="23.85" customHeight="1" s="44">
      <c r="A150" s="56" t="inlineStr">
        <is>
          <t>MET-24</t>
        </is>
      </c>
      <c r="B150" s="67" t="inlineStr">
        <is>
          <t>Metro</t>
        </is>
      </c>
      <c r="C150" s="56" t="inlineStr">
        <is>
          <t>SPECIAL_PROGRAMS</t>
        </is>
      </c>
      <c r="D150" s="56" t="inlineStr">
        <is>
          <t>Are taxi and Uber applications accepted by Metro?</t>
        </is>
      </c>
      <c r="E150" s="58" t="inlineStr">
        <is>
          <t>v4: gpt-4o-mini + union retrieval (lender OR lender+intent)</t>
        </is>
      </c>
      <c r="F150" s="58" t="inlineStr">
        <is>
          <t>Yes, taxi and Uber applications are accepted by Metro, but they are capped at a maximum customer exposure of $250,000 and must be property backed (chunk_id: metro_passenger_vehicle_streamlined).</t>
        </is>
      </c>
      <c r="G150" s="59" t="inlineStr">
        <is>
          <t>metro_passenger_vehicle_streamlined</t>
        </is>
      </c>
      <c r="H150" s="60" t="n">
        <v>1.17</v>
      </c>
      <c r="I150" s="61" t="n">
        <v>2697</v>
      </c>
      <c r="J150" s="62" t="n">
        <v>0.000423</v>
      </c>
    </row>
    <row r="151" ht="23.85" customHeight="1" s="44">
      <c r="A151" s="56" t="inlineStr">
        <is>
          <t>MET-25</t>
        </is>
      </c>
      <c r="B151" s="67" t="inlineStr">
        <is>
          <t>Metro</t>
        </is>
      </c>
      <c r="C151" s="56" t="inlineStr">
        <is>
          <t>LOAN_LIMITS</t>
        </is>
      </c>
      <c r="D151" s="56" t="inlineStr">
        <is>
          <t>What is Metro's maximum single asset and customer exposure?</t>
        </is>
      </c>
      <c r="E151" s="58" t="inlineStr">
        <is>
          <t>v4: gpt-4o-mini + union retrieval (lender OR lender+intent)</t>
        </is>
      </c>
      <c r="F151" s="58" t="inlineStr">
        <is>
          <t>Metro's maximum single asset loan size is $1 million (chunk_id: metro_interest_rates). The maximum customer exposure is $2 million (chunk_id: metro_interest_rates).</t>
        </is>
      </c>
      <c r="G151" s="59" t="inlineStr">
        <is>
          <t>metro_interest_rates</t>
        </is>
      </c>
      <c r="H151" s="60" t="n">
        <v>5.54</v>
      </c>
      <c r="I151" s="61" t="n">
        <v>3127</v>
      </c>
      <c r="J151" s="62" t="n">
        <v>0.000485</v>
      </c>
    </row>
    <row r="152" ht="23.85" customHeight="1" s="44">
      <c r="A152" s="56" t="inlineStr">
        <is>
          <t>FLX-01</t>
        </is>
      </c>
      <c r="B152" s="68" t="inlineStr">
        <is>
          <t>Flexi</t>
        </is>
      </c>
      <c r="C152" s="56" t="inlineStr">
        <is>
          <t>PRICING</t>
        </is>
      </c>
      <c r="D152" s="56" t="inlineStr">
        <is>
          <t>What is the flexipremium rate for a primary asset funded between $100,001 and $500,000?</t>
        </is>
      </c>
      <c r="E152" s="58" t="inlineStr">
        <is>
          <t>v4: gpt-4o-mini + union retrieval (lender OR lender+intent)</t>
        </is>
      </c>
      <c r="F152" s="58" t="inlineStr">
        <is>
          <t>The flexipremium rate for a primary asset funded between $100,001 and $500,000 is 7.30%. (chunk_id: flexi_flexipremium)</t>
        </is>
      </c>
      <c r="G152" s="59" t="inlineStr">
        <is>
          <t>flexi_flexipremium</t>
        </is>
      </c>
      <c r="H152" s="60" t="n">
        <v>1.07</v>
      </c>
      <c r="I152" s="61" t="n">
        <v>2884</v>
      </c>
      <c r="J152" s="62" t="n">
        <v>0.000449</v>
      </c>
    </row>
    <row r="153" ht="23.85" customHeight="1" s="44">
      <c r="A153" s="56" t="inlineStr">
        <is>
          <t>FLX-02</t>
        </is>
      </c>
      <c r="B153" s="68" t="inlineStr">
        <is>
          <t>Flexi</t>
        </is>
      </c>
      <c r="C153" s="56" t="inlineStr">
        <is>
          <t>ELIGIBILITY</t>
        </is>
      </c>
      <c r="D153" s="56" t="inlineStr">
        <is>
          <t>What time in business does flexipremium require, and are sole traders eligible?</t>
        </is>
      </c>
      <c r="E153" s="58" t="inlineStr">
        <is>
          <t>v4: gpt-4o-mini + union retrieval (lender OR lender+intent)</t>
        </is>
      </c>
      <c r="F153" s="58" t="inlineStr">
        <is>
          <t>The time in business required for flexipremium is a minimum of 4 years for asset-backed applicants (chunk_id: flexi_flexipremium). Sole traders are excluded from eligibility for flexipremium (chunk_id: flexi_exclusions).</t>
        </is>
      </c>
      <c r="G153" s="59" t="inlineStr">
        <is>
          <t>flexi_flexipremium</t>
        </is>
      </c>
      <c r="H153" s="60" t="n">
        <v>2.33</v>
      </c>
      <c r="I153" s="61" t="n">
        <v>2759</v>
      </c>
      <c r="J153" s="62" t="n">
        <v>0.000436</v>
      </c>
    </row>
    <row r="154" ht="23.85" customHeight="1" s="44">
      <c r="A154" s="56" t="inlineStr">
        <is>
          <t>FLX-03</t>
        </is>
      </c>
      <c r="B154" s="68" t="inlineStr">
        <is>
          <t>Flexi</t>
        </is>
      </c>
      <c r="C154" s="56" t="inlineStr">
        <is>
          <t>PRICING</t>
        </is>
      </c>
      <c r="D154" s="56" t="inlineStr">
        <is>
          <t>What is flexicommercial's standard base rate for a primary asset above $150,001?</t>
        </is>
      </c>
      <c r="E154" s="58" t="inlineStr">
        <is>
          <t>v4: gpt-4o-mini + union retrieval (lender OR lender+intent)</t>
        </is>
      </c>
      <c r="F154" s="58" t="inlineStr">
        <is>
          <t>The standard base rate for a primary asset above $150,001 is 8.10% (chunk_id: flexi_standard_rates).</t>
        </is>
      </c>
      <c r="G154" s="59" t="inlineStr">
        <is>
          <t>flexi_standard_rates</t>
        </is>
      </c>
      <c r="H154" s="60" t="n">
        <v>3.09</v>
      </c>
      <c r="I154" s="61" t="n">
        <v>2870</v>
      </c>
      <c r="J154" s="62" t="n">
        <v>0.000443</v>
      </c>
    </row>
    <row r="155" ht="23.85" customHeight="1" s="44">
      <c r="A155" s="56" t="inlineStr">
        <is>
          <t>FLX-04</t>
        </is>
      </c>
      <c r="B155" s="68" t="inlineStr">
        <is>
          <t>Flexi</t>
        </is>
      </c>
      <c r="C155" s="56" t="inlineStr">
        <is>
          <t>PRICING</t>
        </is>
      </c>
      <c r="D155" s="56" t="inlineStr">
        <is>
          <t>What add-ons does flexicommercial apply to its standard base rates?</t>
        </is>
      </c>
      <c r="E155" s="58" t="inlineStr">
        <is>
          <t>v4: gpt-4o-mini + union retrieval (lender OR lender+intent)</t>
        </is>
      </c>
      <c r="F155" s="58" t="inlineStr">
        <is>
          <t>Flexicommercial applies the following add-ons to its standard base rates:
*Add 1.0%:*
- Prime Movers (excludes tippers, agitators, rigid bodies, etc.) [chunk_id: flexi_standard_rates]
- Assets 11–15 years old at end of term [chunk_id: flexi_standard_rates]
- Term of &lt; 24 months [chunk_id: flexi_standard_rates]
*Add 1.25%:*
- Non-asset backed customers [chunk_id: flexi_standard_rates]
- Term of &gt; 60 months [chunk_id: flexi_standard_rates]
*Add 2.0%:*
- Assets &gt; 15 to 20 years old at end of term [chunk_id: flexi_standard_rates]
*Add 1.0% (also listed):*
- Private sales and refinances [chunk_id: flexi_standard_rates]</t>
        </is>
      </c>
      <c r="G155" s="59" t="inlineStr">
        <is>
          <t>flexi_standard_rates</t>
        </is>
      </c>
      <c r="H155" s="60" t="n">
        <v>2.76</v>
      </c>
      <c r="I155" s="61" t="n">
        <v>3022</v>
      </c>
      <c r="J155" s="62" t="n">
        <v>0.000537</v>
      </c>
    </row>
    <row r="156" ht="23.85" customHeight="1" s="44">
      <c r="A156" s="56" t="inlineStr">
        <is>
          <t>FLX-05</t>
        </is>
      </c>
      <c r="B156" s="68" t="inlineStr">
        <is>
          <t>Flexi</t>
        </is>
      </c>
      <c r="C156" s="56" t="inlineStr">
        <is>
          <t>LOAN_LIMITS</t>
        </is>
      </c>
      <c r="D156" s="56" t="inlineStr">
        <is>
          <t>What are flexicommercial's maximum exposures by asset class?</t>
        </is>
      </c>
      <c r="E156" s="58" t="inlineStr">
        <is>
          <t>v4: gpt-4o-mini + union retrieval (lender OR lender+intent)</t>
        </is>
      </c>
      <c r="F156" s="58" t="inlineStr">
        <is>
          <t>Flexicommercial's maximum exposures by asset class are as follows:
- **Primary Assets**: up to **$750K** (individual transactions up to **$500K**) [chunk_id: flexi_credit_matrix].
- **Secondary Assets**: up to **$500K** (individual transactions up to **$300K**) [chunk_id: flexi_credit_matrix].
- **Tertiary Assets**: up to **$300K** (individual transactions up to **$300K**) [chunk_id: flexi_credit_matrix].</t>
        </is>
      </c>
      <c r="G156" s="59" t="inlineStr">
        <is>
          <t>flexi_credit_matrix</t>
        </is>
      </c>
      <c r="H156" s="60" t="n">
        <v>6.82</v>
      </c>
      <c r="I156" s="61" t="n">
        <v>3056</v>
      </c>
      <c r="J156" s="62" t="n">
        <v>0.000508</v>
      </c>
    </row>
    <row r="157" ht="23.85" customHeight="1" s="44">
      <c r="A157" s="56" t="inlineStr">
        <is>
          <t>FLX-06</t>
        </is>
      </c>
      <c r="B157" s="68" t="inlineStr">
        <is>
          <t>Flexi</t>
        </is>
      </c>
      <c r="C157" s="56" t="inlineStr">
        <is>
          <t>ASSET_ELIGIBILITY</t>
        </is>
      </c>
      <c r="D157" s="56" t="inlineStr">
        <is>
          <t>Does flexicommercial fund SUVs or passenger cars?</t>
        </is>
      </c>
      <c r="E157" s="58" t="inlineStr">
        <is>
          <t>v4: gpt-4o-mini + union retrieval (lender OR lender+intent)</t>
        </is>
      </c>
      <c r="F157" s="58" t="inlineStr">
        <is>
          <t>No, flexicommercial does not fund SUVs or passenger cars, including those used in rental car businesses. This information comes from chunk_id flexi_exclusions and chunk_id flexi_asset_categories.</t>
        </is>
      </c>
      <c r="G157" s="59" t="inlineStr">
        <is>
          <t>flexi_asset_categories</t>
        </is>
      </c>
      <c r="H157" s="60" t="n">
        <v>3.66</v>
      </c>
      <c r="I157" s="61" t="n">
        <v>3116</v>
      </c>
      <c r="J157" s="62" t="n">
        <v>0.000485</v>
      </c>
    </row>
    <row r="158" ht="23.85" customHeight="1" s="44">
      <c r="A158" s="56" t="inlineStr">
        <is>
          <t>FLX-07</t>
        </is>
      </c>
      <c r="B158" s="68" t="inlineStr">
        <is>
          <t>Flexi</t>
        </is>
      </c>
      <c r="C158" s="56" t="inlineStr">
        <is>
          <t>ASSET_ELIGIBILITY</t>
        </is>
      </c>
      <c r="D158" s="56" t="inlineStr">
        <is>
          <t>How old can a primary asset be at end of term at flexicommercial?</t>
        </is>
      </c>
      <c r="E158" s="58" t="inlineStr">
        <is>
          <t>v4: gpt-4o-mini + union retrieval (lender OR lender+intent)</t>
        </is>
      </c>
      <c r="F158" s="58" t="inlineStr">
        <is>
          <t>A primary asset can be up to 20 years old at the end of the term at flexicommercial. This information comes from chunk_id: [flexi_asset_categories].</t>
        </is>
      </c>
      <c r="G158" s="59" t="inlineStr">
        <is>
          <t>flexi_asset_categories</t>
        </is>
      </c>
      <c r="H158" s="60" t="n">
        <v>7.73</v>
      </c>
      <c r="I158" s="61" t="n">
        <v>3118</v>
      </c>
      <c r="J158" s="62" t="n">
        <v>0.000483</v>
      </c>
    </row>
    <row r="159" ht="23.85" customHeight="1" s="44">
      <c r="A159" s="56" t="inlineStr">
        <is>
          <t>FLX-08</t>
        </is>
      </c>
      <c r="B159" s="68" t="inlineStr">
        <is>
          <t>Flexi</t>
        </is>
      </c>
      <c r="C159" s="56" t="inlineStr">
        <is>
          <t>SPECIAL_PROGRAMS</t>
        </is>
      </c>
      <c r="D159" s="56" t="inlineStr">
        <is>
          <t>What is the maximum transaction size and repayment increase under flexireplacement?</t>
        </is>
      </c>
      <c r="E159" s="58" t="inlineStr">
        <is>
          <t>v4: gpt-4o-mini + union retrieval (lender OR lender+intent)</t>
        </is>
      </c>
      <c r="F159" s="58" t="inlineStr">
        <is>
          <t>The maximum transaction size under flexireplacement is **$500K** (chunk_id: flexi_replacement_policy). The proposed repayment must not exceed **125%** of that being replaced (chunk_id: flexi_replacement_policy).</t>
        </is>
      </c>
      <c r="G159" s="59" t="inlineStr">
        <is>
          <t>flexi_replacement_policy</t>
        </is>
      </c>
      <c r="H159" s="60" t="n">
        <v>18.2</v>
      </c>
      <c r="I159" s="61" t="n">
        <v>3392</v>
      </c>
      <c r="J159" s="62" t="n">
        <v>0.00053</v>
      </c>
    </row>
    <row r="160" ht="23.85" customHeight="1" s="44">
      <c r="A160" s="56" t="inlineStr">
        <is>
          <t>FLX-09</t>
        </is>
      </c>
      <c r="B160" s="68" t="inlineStr">
        <is>
          <t>Flexi</t>
        </is>
      </c>
      <c r="C160" s="56" t="inlineStr">
        <is>
          <t>SPECIAL_PROGRAMS</t>
        </is>
      </c>
      <c r="D160" s="56" t="inlineStr">
        <is>
          <t>Under flexireplacement, what conditions apply to the facility being replaced?</t>
        </is>
      </c>
      <c r="E160" s="58" t="inlineStr">
        <is>
          <t>v4: gpt-4o-mini + union retrieval (lender OR lender+intent)</t>
        </is>
      </c>
      <c r="F160" s="58" t="inlineStr">
        <is>
          <t>The conditions that apply to the facility being replaced under flexireplacement are as follows:
- The facility must be with an **approved lender**. (chunk_id: flexi_replacement_policy)
- The facility must be **either current**, or **paid in full within the last three months**, after having been established for **18 months or more**. (chunk_id: flexi_replacement_policy)
- A **current statement confirming conduct and repayment** is required. (chunk_id: flexi_replacement_policy)
- Proof of the previous agreement, including **terms and conditions**, is also required, plus **written confirmation that the previous facility has been repaid**, or will be repaid if the asset is to be traded in. (chunk_id: flexi_replacement_policy)</t>
        </is>
      </c>
      <c r="G160" s="59" t="inlineStr">
        <is>
          <t>flexi_replacement_policy</t>
        </is>
      </c>
      <c r="H160" s="60" t="n">
        <v>2.24</v>
      </c>
      <c r="I160" s="61" t="n">
        <v>2894</v>
      </c>
      <c r="J160" s="62" t="n">
        <v>0.000505</v>
      </c>
    </row>
    <row r="161" ht="15" customHeight="1" s="44">
      <c r="A161" s="56" t="inlineStr">
        <is>
          <t>FLX-10</t>
        </is>
      </c>
      <c r="B161" s="68" t="inlineStr">
        <is>
          <t>Flexi</t>
        </is>
      </c>
      <c r="C161" s="56" t="inlineStr">
        <is>
          <t>FEES</t>
        </is>
      </c>
      <c r="D161" s="56" t="inlineStr">
        <is>
          <t>What is flexicommercial's establishment fee?</t>
        </is>
      </c>
      <c r="E161" s="58" t="inlineStr">
        <is>
          <t>v4: gpt-4o-mini + union retrieval (lender OR lender+intent)</t>
        </is>
      </c>
      <c r="F161" s="58" t="inlineStr">
        <is>
          <t>The establishment fee for flexicommercial is **$495** for all products. This information comes from chunk_id **flexi_fees**.</t>
        </is>
      </c>
      <c r="G161" s="59" t="inlineStr">
        <is>
          <t>flexi_fees</t>
        </is>
      </c>
      <c r="H161" s="60" t="n">
        <v>3.48</v>
      </c>
      <c r="I161" s="61" t="n">
        <v>2861</v>
      </c>
      <c r="J161" s="62" t="n">
        <v>0.000442</v>
      </c>
    </row>
    <row r="162" ht="23.85" customHeight="1" s="44">
      <c r="A162" s="56" t="inlineStr">
        <is>
          <t>FLX-11</t>
        </is>
      </c>
      <c r="B162" s="68" t="inlineStr">
        <is>
          <t>Flexi</t>
        </is>
      </c>
      <c r="C162" s="56" t="inlineStr">
        <is>
          <t>FEES</t>
        </is>
      </c>
      <c r="D162" s="56" t="inlineStr">
        <is>
          <t>What is flexicommercial's maximum brokerage on a deal of $60,000?</t>
        </is>
      </c>
      <c r="E162" s="58" t="inlineStr">
        <is>
          <t>v4: gpt-4o-mini + union retrieval (lender OR lender+intent)</t>
        </is>
      </c>
      <c r="F162" s="58" t="inlineStr">
        <is>
          <t>The maximum brokerage on a deal of $60,000 is **6%**. This information is based on the deal size of **≥ $50,000**, which falls under the brokerage cap for that category (chunk_id: flexi_standard_rates).</t>
        </is>
      </c>
      <c r="G162" s="59" t="inlineStr">
        <is>
          <t>flexi_fees</t>
        </is>
      </c>
      <c r="H162" s="60" t="n">
        <v>4.94</v>
      </c>
      <c r="I162" s="61" t="n">
        <v>2852</v>
      </c>
      <c r="J162" s="62" t="n">
        <v>0.000451</v>
      </c>
    </row>
    <row r="163" ht="23.85" customHeight="1" s="44">
      <c r="A163" s="56" t="inlineStr">
        <is>
          <t>FLX-12</t>
        </is>
      </c>
      <c r="B163" s="68" t="inlineStr">
        <is>
          <t>Flexi</t>
        </is>
      </c>
      <c r="C163" s="56" t="inlineStr">
        <is>
          <t>ASSET_ELIGIBILITY</t>
        </is>
      </c>
      <c r="D163" s="56" t="inlineStr">
        <is>
          <t>How old can assets be under flexipremium?</t>
        </is>
      </c>
      <c r="E163" s="58" t="inlineStr">
        <is>
          <t>v4: gpt-4o-mini + union retrieval (lender OR lender+intent)</t>
        </is>
      </c>
      <c r="F163" s="58" t="inlineStr">
        <is>
          <t>Under flexipremium, the maximum age for eligible assets is as follows:
- **Primary assets** can be up to 5 years old (chunk_id: flexipremium).
- **Secondary assets** can be up to 2 years old (chunk_id: flexipremium).
Therefore, the age limit for primary assets under flexipremium is 5 years, and for secondary assets, it is 2 years.</t>
        </is>
      </c>
      <c r="G163" s="59" t="inlineStr">
        <is>
          <t>flexi_flexipremium</t>
        </is>
      </c>
      <c r="H163" s="60" t="n">
        <v>1.62</v>
      </c>
      <c r="I163" s="61" t="n">
        <v>3162</v>
      </c>
      <c r="J163" s="62" t="n">
        <v>0.000513</v>
      </c>
    </row>
    <row r="164" ht="23.85" customHeight="1" s="44">
      <c r="A164" s="56" t="inlineStr">
        <is>
          <t>FLX-13</t>
        </is>
      </c>
      <c r="B164" s="68" t="inlineStr">
        <is>
          <t>Flexi</t>
        </is>
      </c>
      <c r="C164" s="56" t="inlineStr">
        <is>
          <t>LOAN_LIMITS</t>
        </is>
      </c>
      <c r="D164" s="56" t="inlineStr">
        <is>
          <t>How can a flexicommercial customer increase their exposure to $750K?</t>
        </is>
      </c>
      <c r="E164" s="58" t="inlineStr">
        <is>
          <t>v4: gpt-4o-mini + union retrieval (lender OR lender+intent)</t>
        </is>
      </c>
      <c r="F164" s="58" t="inlineStr">
        <is>
          <t>A flexicommercial customer can increase their exposure to $750K by making 18 payments on either the flexicommercial contract or an asset finance contract with an approved lender. This applies only to primary assets, with a minimum contract amount of $250K required. A statement must be provided showing perfect conduct. Applications can then be considered to take the combined exposure to a maximum of $750K, with individual transactions capped at $500K. This information is from chunk_id flexi_credit_matrix.</t>
        </is>
      </c>
      <c r="G164" s="59" t="inlineStr">
        <is>
          <t>flexi_credit_matrix</t>
        </is>
      </c>
      <c r="H164" s="60" t="n">
        <v>2.86</v>
      </c>
      <c r="I164" s="61" t="n">
        <v>2807</v>
      </c>
      <c r="J164" s="62" t="n">
        <v>0.000466</v>
      </c>
    </row>
    <row r="165" ht="23.85" customHeight="1" s="44">
      <c r="A165" s="56" t="inlineStr">
        <is>
          <t>FLX-14</t>
        </is>
      </c>
      <c r="B165" s="68" t="inlineStr">
        <is>
          <t>Flexi</t>
        </is>
      </c>
      <c r="C165" s="56" t="inlineStr">
        <is>
          <t>SPECIAL_PROGRAMS</t>
        </is>
      </c>
      <c r="D165" s="56" t="inlineStr">
        <is>
          <t>What brokerage applies to a flexicommercial mid-term refinance?</t>
        </is>
      </c>
      <c r="E165" s="58" t="inlineStr">
        <is>
          <t>v4: gpt-4o-mini + union retrieval (lender OR lender+intent)</t>
        </is>
      </c>
      <c r="F165" s="58" t="inlineStr">
        <is>
          <t>The brokerage that applies to a flexicommercial mid-term refinance is limited to **1.0%** (chunk_id: flexi_refinance_products).</t>
        </is>
      </c>
      <c r="G165" s="59" t="inlineStr">
        <is>
          <t>flexi_refinance_products</t>
        </is>
      </c>
      <c r="H165" s="60" t="n">
        <v>0.98</v>
      </c>
      <c r="I165" s="61" t="n">
        <v>2484</v>
      </c>
      <c r="J165" s="62" t="n">
        <v>0.000387</v>
      </c>
    </row>
    <row r="166" ht="23.85" customHeight="1" s="44">
      <c r="A166" s="56" t="inlineStr">
        <is>
          <t>FLX-15</t>
        </is>
      </c>
      <c r="B166" s="68" t="inlineStr">
        <is>
          <t>Flexi</t>
        </is>
      </c>
      <c r="C166" s="56" t="inlineStr">
        <is>
          <t>SPECIAL_PROGRAMS</t>
        </is>
      </c>
      <c r="D166" s="56" t="inlineStr">
        <is>
          <t>How does a flexipremium Low Start Loan work?</t>
        </is>
      </c>
      <c r="E166" s="58" t="inlineStr">
        <is>
          <t>v4: gpt-4o-mini + union retrieval (lender OR lender+intent)</t>
        </is>
      </c>
      <c r="F166" s="58" t="inlineStr">
        <is>
          <t>A flexipremium Low Start Loan lets the business start their term paying **50% repayments for the first 3 months**, then catch that up gradually over time. To qualify, the customer must meet several conditions: they must qualify for flexipremium, have no cashflow lenders on file (e.g., Prospa, Moula), and must have an existing commercial asset finance facility with an approved lender. 
This information comes from chunk_id [Source: flexi_refinance_products | Lender: FLEXI].</t>
        </is>
      </c>
      <c r="G166" s="59" t="inlineStr">
        <is>
          <t>flexi_refinance_products</t>
        </is>
      </c>
      <c r="H166" s="60" t="n">
        <v>1.54</v>
      </c>
      <c r="I166" s="61" t="n">
        <v>3043</v>
      </c>
      <c r="J166" s="62" t="n">
        <v>0.000504</v>
      </c>
    </row>
    <row r="167" ht="23.85" customHeight="1" s="44">
      <c r="A167" s="56" t="inlineStr">
        <is>
          <t>FLX-16</t>
        </is>
      </c>
      <c r="B167" s="68" t="inlineStr">
        <is>
          <t>Flexi</t>
        </is>
      </c>
      <c r="C167" s="56" t="inlineStr">
        <is>
          <t>ELIGIBILITY</t>
        </is>
      </c>
      <c r="D167" s="56" t="inlineStr">
        <is>
          <t>What ABN and GST duration does flexicommercial's Credit Matrix require?</t>
        </is>
      </c>
      <c r="E167" s="58" t="inlineStr">
        <is>
          <t>v4: gpt-4o-mini + union retrieval (lender OR lender+intent)</t>
        </is>
      </c>
      <c r="F167" s="58" t="inlineStr">
        <is>
          <t>The flexicommercial Credit Matrix requires an ABN (Australian Business Number) and GST registration duration of more than 2 years (chunk_id: flexi_credit_matrix).</t>
        </is>
      </c>
      <c r="G167" s="59" t="inlineStr">
        <is>
          <t>flexi_credit_matrix</t>
        </is>
      </c>
      <c r="H167" s="60" t="n">
        <v>5.84</v>
      </c>
      <c r="I167" s="61" t="n">
        <v>2742</v>
      </c>
      <c r="J167" s="62" t="n">
        <v>0.000427</v>
      </c>
    </row>
    <row r="168" ht="23.85" customHeight="1" s="44">
      <c r="A168" s="56" t="inlineStr">
        <is>
          <t>FLX-17</t>
        </is>
      </c>
      <c r="B168" s="68" t="inlineStr">
        <is>
          <t>Flexi</t>
        </is>
      </c>
      <c r="C168" s="56" t="inlineStr">
        <is>
          <t>ASSET_ELIGIBILITY</t>
        </is>
      </c>
      <c r="D168" s="56" t="inlineStr">
        <is>
          <t>What is the maximum exposure for IT assets at flexicommercial?</t>
        </is>
      </c>
      <c r="E168" s="58" t="inlineStr">
        <is>
          <t>v4: gpt-4o-mini + union retrieval (lender OR lender+intent)</t>
        </is>
      </c>
      <c r="F168" s="58" t="inlineStr">
        <is>
          <t>The maximum exposure for IT assets at flexicommercial is $50,000, as per the flexi_exclusions excerpt ([chunk_id: flexi_exclusions]).</t>
        </is>
      </c>
      <c r="G168" s="59" t="inlineStr">
        <is>
          <t>flexi_credit_matrix</t>
        </is>
      </c>
      <c r="H168" s="60" t="n">
        <v>1.17</v>
      </c>
      <c r="I168" s="61" t="n">
        <v>2739</v>
      </c>
      <c r="J168" s="62" t="n">
        <v>0.000426</v>
      </c>
    </row>
    <row r="169" ht="15" customHeight="1" s="44">
      <c r="A169" s="56" t="inlineStr">
        <is>
          <t>FLX-18</t>
        </is>
      </c>
      <c r="B169" s="68" t="inlineStr">
        <is>
          <t>Flexi</t>
        </is>
      </c>
      <c r="C169" s="56" t="inlineStr">
        <is>
          <t>LOAN_LIMITS</t>
        </is>
      </c>
      <c r="D169" s="56" t="inlineStr">
        <is>
          <t>What is flexicommercial's maximum loan term?</t>
        </is>
      </c>
      <c r="E169" s="58" t="inlineStr">
        <is>
          <t>v4: gpt-4o-mini + union retrieval (lender OR lender+intent)</t>
        </is>
      </c>
      <c r="F169" s="58" t="inlineStr">
        <is>
          <t>This information is not available in the provided policy documents.</t>
        </is>
      </c>
      <c r="G169" s="59" t="inlineStr">
        <is>
          <t>flexi_standard_rates</t>
        </is>
      </c>
      <c r="H169" s="60" t="n">
        <v>0.79</v>
      </c>
      <c r="I169" s="61" t="n">
        <v>2844</v>
      </c>
      <c r="J169" s="62" t="n">
        <v>0.000432</v>
      </c>
    </row>
    <row r="170" ht="15" customHeight="1" s="44">
      <c r="A170" s="56" t="inlineStr">
        <is>
          <t>FLX-19</t>
        </is>
      </c>
      <c r="B170" s="68" t="inlineStr">
        <is>
          <t>Flexi</t>
        </is>
      </c>
      <c r="C170" s="56" t="inlineStr">
        <is>
          <t>EXCLUSIONS</t>
        </is>
      </c>
      <c r="D170" s="56" t="inlineStr">
        <is>
          <t>Are sole traders eligible at flexicommercial?</t>
        </is>
      </c>
      <c r="E170" s="58" t="inlineStr">
        <is>
          <t>v4: gpt-4o-mini + union retrieval (lender OR lender+intent)</t>
        </is>
      </c>
      <c r="F170" s="58" t="inlineStr">
        <is>
          <t>Sole Traders are excluded from flexipremium, which means they are not eligible for this product (chunk_id: flexi_flexipremium). Additionally, Sole Traders are excluded from being considered for flexicommercial funding (chunk_id: flexi_exclusions).</t>
        </is>
      </c>
      <c r="G170" s="59" t="inlineStr">
        <is>
          <t>flexi_exclusions</t>
        </is>
      </c>
      <c r="H170" s="60" t="n">
        <v>1.36</v>
      </c>
      <c r="I170" s="61" t="n">
        <v>2846</v>
      </c>
      <c r="J170" s="62" t="n">
        <v>0.000451</v>
      </c>
    </row>
    <row r="171" ht="23.85" customHeight="1" s="44">
      <c r="A171" s="56" t="inlineStr">
        <is>
          <t>FLX-20</t>
        </is>
      </c>
      <c r="B171" s="68" t="inlineStr">
        <is>
          <t>Flexi</t>
        </is>
      </c>
      <c r="C171" s="56" t="inlineStr">
        <is>
          <t>SPECIAL_PROGRAMS</t>
        </is>
      </c>
      <c r="D171" s="56" t="inlineStr">
        <is>
          <t>Can flexireplacement be used for balloon refinances?</t>
        </is>
      </c>
      <c r="E171" s="58" t="inlineStr">
        <is>
          <t>v4: gpt-4o-mini + union retrieval (lender OR lender+intent)</t>
        </is>
      </c>
      <c r="F171" s="58" t="inlineStr">
        <is>
          <t>Yes, flexireplacement can be used for balloon refinances up to $500K (inspection and valuation required if &gt; $300K). [Source: flexi_replacement_policy | chunk_id: 1]</t>
        </is>
      </c>
      <c r="G171" s="59" t="inlineStr">
        <is>
          <t>flexi_replacement_policy</t>
        </is>
      </c>
      <c r="H171" s="60" t="n">
        <v>3.32</v>
      </c>
      <c r="I171" s="61" t="n">
        <v>2776</v>
      </c>
      <c r="J171" s="62" t="n">
        <v>0.000436</v>
      </c>
    </row>
    <row r="172" ht="23.85" customHeight="1" s="44">
      <c r="A172" s="56" t="inlineStr">
        <is>
          <t>FLX-21</t>
        </is>
      </c>
      <c r="B172" s="68" t="inlineStr">
        <is>
          <t>Flexi</t>
        </is>
      </c>
      <c r="C172" s="56" t="inlineStr">
        <is>
          <t>ASSET_ELIGIBILITY</t>
        </is>
      </c>
      <c r="D172" s="56" t="inlineStr">
        <is>
          <t>Does flexicommercial finance passenger cars for a rental car business?</t>
        </is>
      </c>
      <c r="E172" s="58" t="inlineStr">
        <is>
          <t>v4: gpt-4o-mini + union retrieval (lender OR lender+intent)</t>
        </is>
      </c>
      <c r="F172" s="58" t="inlineStr">
        <is>
          <t>No, flexicommercial does not finance passenger cars, which includes those used for rental car businesses. This information comes from chunk_id [flexi_exclusions].</t>
        </is>
      </c>
      <c r="G172" s="59" t="inlineStr">
        <is>
          <t>flexi_asset_categories</t>
        </is>
      </c>
      <c r="H172" s="60" t="n">
        <v>0.97</v>
      </c>
      <c r="I172" s="61" t="n">
        <v>3204</v>
      </c>
      <c r="J172" s="62" t="n">
        <v>0.000495</v>
      </c>
    </row>
    <row r="173" ht="15" customHeight="1" s="44">
      <c r="A173" s="56" t="inlineStr">
        <is>
          <t>FLX-22</t>
        </is>
      </c>
      <c r="B173" s="68" t="inlineStr">
        <is>
          <t>Flexi</t>
        </is>
      </c>
      <c r="C173" s="56" t="inlineStr">
        <is>
          <t>PRICING</t>
        </is>
      </c>
      <c r="D173" s="56" t="inlineStr">
        <is>
          <t>What is the maximum brokerage on a flexipremium deal?</t>
        </is>
      </c>
      <c r="E173" s="58" t="inlineStr">
        <is>
          <t>v4: gpt-4o-mini + union retrieval (lender OR lender+intent)</t>
        </is>
      </c>
      <c r="F173" s="58" t="inlineStr">
        <is>
          <t>The maximum brokerage on a flexipremium deal is **3%**. (Source: chunk_id "flexi_flexipremium")</t>
        </is>
      </c>
      <c r="G173" s="59" t="inlineStr">
        <is>
          <t>flexi_flexipremium</t>
        </is>
      </c>
      <c r="H173" s="60" t="n">
        <v>1.96</v>
      </c>
      <c r="I173" s="61" t="n">
        <v>2863</v>
      </c>
      <c r="J173" s="62" t="n">
        <v>0.000442</v>
      </c>
    </row>
    <row r="174" ht="23.85" customHeight="1" s="44">
      <c r="A174" s="56" t="inlineStr">
        <is>
          <t>FLX-23</t>
        </is>
      </c>
      <c r="B174" s="68" t="inlineStr">
        <is>
          <t>Flexi</t>
        </is>
      </c>
      <c r="C174" s="56" t="inlineStr">
        <is>
          <t>EXCLUSIONS</t>
        </is>
      </c>
      <c r="D174" s="56" t="inlineStr">
        <is>
          <t>Do transport operators need to be asset backed at flexicommercial?</t>
        </is>
      </c>
      <c r="E174" s="58" t="inlineStr">
        <is>
          <t>v4: gpt-4o-mini + union retrieval (lender OR lender+intent)</t>
        </is>
      </c>
      <c r="F174" s="58" t="inlineStr">
        <is>
          <t>Yes, transport operators must be asset backed with sufficient equity for all transactions. This requirement is specifically stated in the policy excerpt (chunk_id: flexi_exclusions).</t>
        </is>
      </c>
      <c r="G174" s="59" t="inlineStr">
        <is>
          <t>flexi_exclusions</t>
        </is>
      </c>
      <c r="H174" s="60" t="n">
        <v>8.16</v>
      </c>
      <c r="I174" s="61" t="n">
        <v>3113</v>
      </c>
      <c r="J174" s="62" t="n">
        <v>0.000482</v>
      </c>
    </row>
    <row r="175" ht="15" customHeight="1" s="44">
      <c r="A175" s="56" t="inlineStr">
        <is>
          <t>FLX-24</t>
        </is>
      </c>
      <c r="B175" s="68" t="inlineStr">
        <is>
          <t>Flexi</t>
        </is>
      </c>
      <c r="C175" s="56" t="inlineStr">
        <is>
          <t>PRICING</t>
        </is>
      </c>
      <c r="D175" s="56" t="inlineStr">
        <is>
          <t>What is flexicommercial's minimum deal size?</t>
        </is>
      </c>
      <c r="E175" s="58" t="inlineStr">
        <is>
          <t>v4: gpt-4o-mini + union retrieval (lender OR lender+intent)</t>
        </is>
      </c>
      <c r="F175" s="58" t="inlineStr">
        <is>
          <t>The minimum deal size for flexicommercial is **$10,000** (chunk_id: flexi_fees).</t>
        </is>
      </c>
      <c r="G175" s="59" t="inlineStr">
        <is>
          <t>flexi_standard_rates</t>
        </is>
      </c>
      <c r="H175" s="60" t="n">
        <v>4.2</v>
      </c>
      <c r="I175" s="61" t="n">
        <v>2857</v>
      </c>
      <c r="J175" s="62" t="n">
        <v>0.000439</v>
      </c>
    </row>
    <row r="176" ht="23.85" customHeight="1" s="44">
      <c r="A176" s="56" t="inlineStr">
        <is>
          <t>FLX-25</t>
        </is>
      </c>
      <c r="B176" s="68" t="inlineStr">
        <is>
          <t>Flexi</t>
        </is>
      </c>
      <c r="C176" s="56" t="inlineStr">
        <is>
          <t>ASSET_ELIGIBILITY</t>
        </is>
      </c>
      <c r="D176" s="56" t="inlineStr">
        <is>
          <t>How does flexicommercial classify medical and dental equipment?</t>
        </is>
      </c>
      <c r="E176" s="58" t="inlineStr">
        <is>
          <t>v4: gpt-4o-mini + union retrieval (lender OR lender+intent)</t>
        </is>
      </c>
      <c r="F176" s="58" t="inlineStr">
        <is>
          <t>Medical and dental equipment falls under the **Secondary assets** category at flexicommercial (chunk_id: flexi_asset_categories).</t>
        </is>
      </c>
      <c r="G176" s="59" t="inlineStr">
        <is>
          <t>flexi_asset_categories</t>
        </is>
      </c>
      <c r="H176" s="60" t="n">
        <v>0.93</v>
      </c>
      <c r="I176" s="61" t="n">
        <v>3610</v>
      </c>
      <c r="J176" s="62" t="n">
        <v>0.000553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17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3" min="1" max="1"/>
    <col width="10" customWidth="1" style="43" min="2" max="2"/>
    <col width="15" customWidth="1" style="43" min="3" max="3"/>
    <col width="42" customWidth="1" style="43" min="4" max="4"/>
    <col width="50" customWidth="1" style="43" min="5" max="6"/>
    <col width="22" customWidth="1" style="43" min="7" max="8"/>
    <col width="12" customWidth="1" style="43" min="9" max="9"/>
    <col width="10" customWidth="1" style="43" min="10" max="10"/>
    <col width="50" customWidth="1" style="43" min="11" max="11"/>
    <col width="12" customWidth="1" style="43" min="12" max="13"/>
  </cols>
  <sheetData>
    <row r="1" ht="33.75" customHeight="1" s="44">
      <c r="A1" s="55" t="inlineStr">
        <is>
          <t>ID</t>
        </is>
      </c>
      <c r="B1" s="55" t="inlineStr">
        <is>
          <t>Lender</t>
        </is>
      </c>
      <c r="C1" s="55" t="inlineStr">
        <is>
          <t>Category</t>
        </is>
      </c>
      <c r="D1" s="55" t="inlineStr">
        <is>
          <t>Question</t>
        </is>
      </c>
      <c r="E1" s="55" t="inlineStr">
        <is>
          <t>Gold-Standard Answer (4/4)</t>
        </is>
      </c>
      <c r="F1" s="55" t="inlineStr">
        <is>
          <t>Model Answer (auto)</t>
        </is>
      </c>
      <c r="G1" s="55" t="inlineStr">
        <is>
          <t>Expected Chunk ID</t>
        </is>
      </c>
      <c r="H1" s="55" t="inlineStr">
        <is>
          <t>Retrieved Chunk ID (auto)</t>
        </is>
      </c>
      <c r="I1" s="55" t="inlineStr">
        <is>
          <t>Retrieval Hit (auto)</t>
        </is>
      </c>
      <c r="J1" s="55" t="inlineStr">
        <is>
          <t>Score (1-4)</t>
        </is>
      </c>
      <c r="K1" s="55" t="inlineStr">
        <is>
          <t>Score Rationale</t>
        </is>
      </c>
      <c r="L1" s="55" t="inlineStr">
        <is>
          <t>Reviewer</t>
        </is>
      </c>
      <c r="M1" s="55" t="inlineStr">
        <is>
          <t>Review Date</t>
        </is>
      </c>
    </row>
    <row r="2" ht="35.05" customHeight="1" s="44">
      <c r="A2" s="56" t="inlineStr">
        <is>
          <t>RES-01</t>
        </is>
      </c>
      <c r="B2" s="57" t="inlineStr">
        <is>
          <t>Resimac</t>
        </is>
      </c>
      <c r="C2" s="56" t="inlineStr">
        <is>
          <t>ELIGIBILITY</t>
        </is>
      </c>
      <c r="D2" s="56" t="inlineStr">
        <is>
          <t>What minimum ABN and GST registration duration does Resimac's PremiumPLUS tier require?</t>
        </is>
      </c>
      <c r="E2" s="56" t="inlineStr">
        <is>
          <t>Resimac's PremiumPLUS tier requires an ABN registered for more than 6 years and GST registered for more than 3 years. PremiumPLUS accepts property-backed borrowers only.</t>
        </is>
      </c>
      <c r="F2" s="69">
        <f>IFERROR(INDEX(ModelAnswers!$F$2:$F$176,MATCH($A2,ModelAnswers!$A$2:$A$176,0)),"")</f>
        <v/>
      </c>
      <c r="G2" s="70" t="inlineStr">
        <is>
          <t>resimac_customer_tiers</t>
        </is>
      </c>
      <c r="H2" s="71">
        <f>IFERROR(INDEX(ModelAnswers!$G$2:$G$176,MATCH($A2,ModelAnswers!$A$2:$A$176,0)),"")</f>
        <v/>
      </c>
      <c r="I2" s="72">
        <f>IF($H2="","",IF(EXACT(TRIM($G2),TRIM($H2)),1,0))</f>
        <v/>
      </c>
      <c r="J2" s="73" t="n">
        <v>4</v>
      </c>
      <c r="K2" s="58" t="inlineStr">
        <is>
          <t>Retrieval: HIT (expected resimac_customer_tiers, got ['resimac_customer_tiers', 'resimac_settlement', 'resimac_interest_rates', 'resimac_documentation', 'resimac_fees_brokerage']). Auto-scored via source-hit + gold-number-match + keyword-overlap heuristic (see tests/test_queries.py:score_answer). Human reviewer should verify.</t>
        </is>
      </c>
      <c r="L2" s="58" t="n"/>
      <c r="M2" s="74" t="n"/>
    </row>
    <row r="3" ht="46.25" customHeight="1" s="44">
      <c r="A3" s="56" t="inlineStr">
        <is>
          <t>RES-02</t>
        </is>
      </c>
      <c r="B3" s="57" t="inlineStr">
        <is>
          <t>Resimac</t>
        </is>
      </c>
      <c r="C3" s="56" t="inlineStr">
        <is>
          <t>PRICING</t>
        </is>
      </c>
      <c r="D3" s="56" t="inlineStr">
        <is>
          <t>What is Resimac's interest rate for electric vehicles under the PremiumPLUS tier?</t>
        </is>
      </c>
      <c r="E3" s="56" t="inlineStr">
        <is>
          <t>Electric vehicles are priced at 7.54% p.a. for PremiumPLUS clients (7.79% p.a. for Premium/Standard/Basic). This is the lowest rate in Resimac's range, and EVs also qualify for extended Green Goods terms up to 84 months.</t>
        </is>
      </c>
      <c r="F3" s="69">
        <f>IFERROR(INDEX(ModelAnswers!$F$2:$F$176,MATCH($A3,ModelAnswers!$A$2:$A$176,0)),"")</f>
        <v/>
      </c>
      <c r="G3" s="70" t="inlineStr">
        <is>
          <t>resimac_interest_rates</t>
        </is>
      </c>
      <c r="H3" s="71">
        <f>IFERROR(INDEX(ModelAnswers!$G$2:$G$176,MATCH($A3,ModelAnswers!$A$2:$A$176,0)),"")</f>
        <v/>
      </c>
      <c r="I3" s="72">
        <f>IF($H3="","",IF(EXACT(TRIM($G3),TRIM($H3)),1,0))</f>
        <v/>
      </c>
      <c r="J3" s="73" t="n">
        <v>2</v>
      </c>
      <c r="K3" s="58" t="inlineStr">
        <is>
          <t>Retrieval: HIT (expected resimac_interest_rates, got ['resimac_interest_rates', 'resimac_loan_limits', 'resimac_fees_brokerage', 'resimac_asset_categories', 'resimac_customer_tiers']). Auto-scored via source-hit + gold-number-match + keyword-overlap heuristic (see tests/test_queries.py:score_answer). Human reviewer should verify.</t>
        </is>
      </c>
      <c r="L3" s="58" t="n"/>
      <c r="M3" s="74" t="n"/>
    </row>
    <row r="4" ht="46.25" customHeight="1" s="44">
      <c r="A4" s="56" t="inlineStr">
        <is>
          <t>RES-03</t>
        </is>
      </c>
      <c r="B4" s="57" t="inlineStr">
        <is>
          <t>Resimac</t>
        </is>
      </c>
      <c r="C4" s="56" t="inlineStr">
        <is>
          <t>PRICING</t>
        </is>
      </c>
      <c r="D4" s="56" t="inlineStr">
        <is>
          <t>What triggers a +2% risk loading at Resimac, and what is the maximum total risk loading per deal?</t>
        </is>
      </c>
      <c r="E4" s="56" t="inlineStr">
        <is>
          <t>A +2% risk loading applies to each of: private sales, classic cars, assets with age over 16 years at end of term, and prime movers. Multiple loadings can stack, but the total risk loading is capped at 4% per deal (excluding brokerage loading).</t>
        </is>
      </c>
      <c r="F4" s="69">
        <f>IFERROR(INDEX(ModelAnswers!$F$2:$F$176,MATCH($A4,ModelAnswers!$A$2:$A$176,0)),"")</f>
        <v/>
      </c>
      <c r="G4" s="70" t="inlineStr">
        <is>
          <t>resimac_interest_rates</t>
        </is>
      </c>
      <c r="H4" s="71">
        <f>IFERROR(INDEX(ModelAnswers!$G$2:$G$176,MATCH($A4,ModelAnswers!$A$2:$A$176,0)),"")</f>
        <v/>
      </c>
      <c r="I4" s="72">
        <f>IF($H4="","",IF(EXACT(TRIM($G4),TRIM($H4)),1,0))</f>
        <v/>
      </c>
      <c r="J4" s="73" t="n">
        <v>4</v>
      </c>
      <c r="K4" s="58" t="inlineStr">
        <is>
          <t>Retrieval: HIT (expected resimac_interest_rates, got ['resimac_interest_rates', 'resimac_fees_brokerage', 'resimac_loan_limits', 'resimac_settlement', 'resimac_asset_categories']). Auto-scored via source-hit + gold-number-match + keyword-overlap heuristic (see tests/test_queries.py:score_answer). Human reviewer should verify.</t>
        </is>
      </c>
      <c r="L4" s="58" t="n"/>
      <c r="M4" s="74" t="n"/>
    </row>
    <row r="5" ht="46.25" customHeight="1" s="44">
      <c r="A5" s="56" t="inlineStr">
        <is>
          <t>RES-04</t>
        </is>
      </c>
      <c r="B5" s="57" t="inlineStr">
        <is>
          <t>Resimac</t>
        </is>
      </c>
      <c r="C5" s="56" t="inlineStr">
        <is>
          <t>LOAN_LIMITS</t>
        </is>
      </c>
      <c r="D5" s="56" t="inlineStr">
        <is>
          <t>What is the maximum NAF for a Full Doc motor vehicle loan under Resimac's PremiumPLUS/Premium tier, and the per-passenger-vehicle cap?</t>
        </is>
      </c>
      <c r="E5" s="56" t="inlineStr">
        <is>
          <t>Under PremiumPLUS/Premium, the maximum Full Doc NAF for motor vehicles is $450k. However, the maximum NAF per individual passenger vehicle is capped at $250k regardless of tier.</t>
        </is>
      </c>
      <c r="F5" s="69">
        <f>IFERROR(INDEX(ModelAnswers!$F$2:$F$176,MATCH($A5,ModelAnswers!$A$2:$A$176,0)),"")</f>
        <v/>
      </c>
      <c r="G5" s="70" t="inlineStr">
        <is>
          <t>resimac_loan_limits</t>
        </is>
      </c>
      <c r="H5" s="71">
        <f>IFERROR(INDEX(ModelAnswers!$G$2:$G$176,MATCH($A5,ModelAnswers!$A$2:$A$176,0)),"")</f>
        <v/>
      </c>
      <c r="I5" s="72">
        <f>IF($H5="","",IF(EXACT(TRIM($G5),TRIM($H5)),1,0))</f>
        <v/>
      </c>
      <c r="J5" s="73" t="n">
        <v>4</v>
      </c>
      <c r="K5" s="58" t="inlineStr">
        <is>
          <t>Retrieval: HIT (expected resimac_loan_limits, got ['resimac_loan_limits', 'resimac_interest_rates', 'resimac_asset_categories', 'resimac_customer_tiers', 'resimac_fees_brokerage']). Auto-scored via source-hit + gold-number-match + keyword-overlap heuristic (see tests/test_queries.py:score_answer). Human reviewer should verify.</t>
        </is>
      </c>
      <c r="L5" s="58" t="n"/>
      <c r="M5" s="74" t="n"/>
    </row>
    <row r="6" ht="57.45" customHeight="1" s="44">
      <c r="A6" s="56" t="inlineStr">
        <is>
          <t>RES-05</t>
        </is>
      </c>
      <c r="B6" s="57" t="inlineStr">
        <is>
          <t>Resimac</t>
        </is>
      </c>
      <c r="C6" s="56" t="inlineStr">
        <is>
          <t>DOCUMENTATION</t>
        </is>
      </c>
      <c r="D6" s="56" t="inlineStr">
        <is>
          <t>Under Resimac's Lite Doc pathway, what are the ATO debt and turnover conditions?</t>
        </is>
      </c>
      <c r="E6" s="56" t="inlineStr">
        <is>
          <t>For Lite Doc, ATO debt must be under 10% of annual turnover and under an established payment arrangement in place for more than 3 months. The BAS must show an annualised minimum turnover of more than 2.5x the asset purchase price.</t>
        </is>
      </c>
      <c r="F6" s="69">
        <f>IFERROR(INDEX(ModelAnswers!$F$2:$F$176,MATCH($A6,ModelAnswers!$A$2:$A$176,0)),"")</f>
        <v/>
      </c>
      <c r="G6" s="70" t="inlineStr">
        <is>
          <t>resimac_documentation</t>
        </is>
      </c>
      <c r="H6" s="71">
        <f>IFERROR(INDEX(ModelAnswers!$G$2:$G$176,MATCH($A6,ModelAnswers!$A$2:$A$176,0)),"")</f>
        <v/>
      </c>
      <c r="I6" s="72">
        <f>IF($H6="","",IF(EXACT(TRIM($G6),TRIM($H6)),1,0))</f>
        <v/>
      </c>
      <c r="J6" s="73" t="n">
        <v>4</v>
      </c>
      <c r="K6" s="58" t="inlineStr">
        <is>
          <t>Retrieval: HIT (expected resimac_documentation, got ['resimac_documentation', 'resimac_loan_limits', 'resimac_exclusions', 'resimac_customer_tiers', 'resimac_interest_rates']). Auto-scored via source-hit + gold-number-match + keyword-overlap heuristic (see tests/test_queries.py:score_answer). Human reviewer should verify.</t>
        </is>
      </c>
      <c r="L6" s="58" t="n"/>
      <c r="M6" s="74" t="n"/>
    </row>
    <row r="7" ht="35.05" customHeight="1" s="44">
      <c r="A7" s="56" t="inlineStr">
        <is>
          <t>RES-06</t>
        </is>
      </c>
      <c r="B7" s="57" t="inlineStr">
        <is>
          <t>Resimac</t>
        </is>
      </c>
      <c r="C7" s="56" t="inlineStr">
        <is>
          <t>ASSET_ELIGIBILITY</t>
        </is>
      </c>
      <c r="D7" s="56" t="inlineStr">
        <is>
          <t>How does Resimac classify a caravan, and what is the maximum asset age at end of term?</t>
        </is>
      </c>
      <c r="E7" s="56" t="inlineStr">
        <is>
          <t>A caravan is classified as a Primary Asset at Resimac. The maximum asset age at end of term for primary assets is 25 years.</t>
        </is>
      </c>
      <c r="F7" s="69">
        <f>IFERROR(INDEX(ModelAnswers!$F$2:$F$176,MATCH($A7,ModelAnswers!$A$2:$A$176,0)),"")</f>
        <v/>
      </c>
      <c r="G7" s="70" t="inlineStr">
        <is>
          <t>resimac_asset_categories</t>
        </is>
      </c>
      <c r="H7" s="71">
        <f>IFERROR(INDEX(ModelAnswers!$G$2:$G$176,MATCH($A7,ModelAnswers!$A$2:$A$176,0)),"")</f>
        <v/>
      </c>
      <c r="I7" s="72">
        <f>IF($H7="","",IF(EXACT(TRIM($G7),TRIM($H7)),1,0))</f>
        <v/>
      </c>
      <c r="J7" s="73" t="n">
        <v>4</v>
      </c>
      <c r="K7" s="58" t="inlineStr">
        <is>
          <t>Retrieval: HIT (expected resimac_asset_categories, got ['resimac_asset_categories', 'resimac_interest_rates', 'resimac_customer_tiers', 'resimac_loan_limits', 'resimac_exclusions']). Auto-scored via source-hit + gold-number-match + keyword-overlap heuristic (see tests/test_queries.py:score_answer). Human reviewer should verify.</t>
        </is>
      </c>
      <c r="L7" s="58" t="n"/>
      <c r="M7" s="74" t="n"/>
    </row>
    <row r="8" ht="35.05" customHeight="1" s="44">
      <c r="A8" s="56" t="inlineStr">
        <is>
          <t>RES-07</t>
        </is>
      </c>
      <c r="B8" s="57" t="inlineStr">
        <is>
          <t>Resimac</t>
        </is>
      </c>
      <c r="C8" s="56" t="inlineStr">
        <is>
          <t>EXCLUSIONS</t>
        </is>
      </c>
      <c r="D8" s="56" t="inlineStr">
        <is>
          <t>Can Resimac finance software or a food truck?</t>
        </is>
      </c>
      <c r="E8" s="56" t="inlineStr">
        <is>
          <t>No. Both software and food trucks are on Resimac's excluded assets list and cannot be financed under any circumstances, regardless of customer tier or documentation type.</t>
        </is>
      </c>
      <c r="F8" s="69">
        <f>IFERROR(INDEX(ModelAnswers!$F$2:$F$176,MATCH($A8,ModelAnswers!$A$2:$A$176,0)),"")</f>
        <v/>
      </c>
      <c r="G8" s="70" t="inlineStr">
        <is>
          <t>resimac_exclusions</t>
        </is>
      </c>
      <c r="H8" s="71">
        <f>IFERROR(INDEX(ModelAnswers!$G$2:$G$176,MATCH($A8,ModelAnswers!$A$2:$A$176,0)),"")</f>
        <v/>
      </c>
      <c r="I8" s="72">
        <f>IF($H8="","",IF(EXACT(TRIM($G8),TRIM($H8)),1,0))</f>
        <v/>
      </c>
      <c r="J8" s="73" t="n">
        <v>4</v>
      </c>
      <c r="K8" s="58" t="inlineStr">
        <is>
          <t>Retrieval: HIT (expected resimac_exclusions, got ['resimac_exclusions', 'resimac_loan_limits', 'resimac_asset_categories', 'resimac_interest_rates', 'resimac_fees_brokerage']). Auto-scored via source-hit + gold-number-match + keyword-overlap heuristic (see tests/test_queries.py:score_answer). Human reviewer should verify.</t>
        </is>
      </c>
      <c r="L8" s="58" t="n"/>
      <c r="M8" s="74" t="n"/>
    </row>
    <row r="9" ht="46.25" customHeight="1" s="44">
      <c r="A9" s="56" t="inlineStr">
        <is>
          <t>RES-08</t>
        </is>
      </c>
      <c r="B9" s="57" t="inlineStr">
        <is>
          <t>Resimac</t>
        </is>
      </c>
      <c r="C9" s="56" t="inlineStr">
        <is>
          <t>FEES</t>
        </is>
      </c>
      <c r="D9" s="56" t="inlineStr">
        <is>
          <t>How does brokerage above 5.5% affect a Resimac deal, and what is the maximum brokerage?</t>
        </is>
      </c>
      <c r="E9" s="56" t="inlineStr">
        <is>
          <t>Brokerage up to 5.5% (inclusive of GST) has no rate impact. Above 5.5%, the rate increases by the equivalent of 0.5% for every 1% of brokerage (or part thereof) above the threshold. Maximum brokerage is 8.8% inclusive of GST.</t>
        </is>
      </c>
      <c r="F9" s="69">
        <f>IFERROR(INDEX(ModelAnswers!$F$2:$F$176,MATCH($A9,ModelAnswers!$A$2:$A$176,0)),"")</f>
        <v/>
      </c>
      <c r="G9" s="70" t="inlineStr">
        <is>
          <t>resimac_fees_brokerage</t>
        </is>
      </c>
      <c r="H9" s="71">
        <f>IFERROR(INDEX(ModelAnswers!$G$2:$G$176,MATCH($A9,ModelAnswers!$A$2:$A$176,0)),"")</f>
        <v/>
      </c>
      <c r="I9" s="72">
        <f>IF($H9="","",IF(EXACT(TRIM($G9),TRIM($H9)),1,0))</f>
        <v/>
      </c>
      <c r="J9" s="73" t="n">
        <v>4</v>
      </c>
      <c r="K9" s="58" t="inlineStr">
        <is>
          <t>Retrieval: HIT (expected resimac_fees_brokerage, got ['resimac_fees_brokerage', 'resimac_interest_rates', 'resimac_loan_limits', 'resimac_customer_tiers', 'resimac_settlement']). Auto-scored via source-hit + gold-number-match + keyword-overlap heuristic (see tests/test_queries.py:score_answer). Human reviewer should verify.</t>
        </is>
      </c>
      <c r="L9" s="58" t="n"/>
      <c r="M9" s="74" t="n"/>
    </row>
    <row r="10" ht="57.45" customHeight="1" s="44">
      <c r="A10" s="56" t="inlineStr">
        <is>
          <t>RES-09</t>
        </is>
      </c>
      <c r="B10" s="57" t="inlineStr">
        <is>
          <t>Resimac</t>
        </is>
      </c>
      <c r="C10" s="56" t="inlineStr">
        <is>
          <t>ELIGIBILITY</t>
        </is>
      </c>
      <c r="D10" s="56" t="inlineStr">
        <is>
          <t>If a Resimac applicant does not own property, what deposit is required?</t>
        </is>
      </c>
      <c r="E10" s="56" t="inlineStr">
        <is>
          <t>For non property-backed applicants, a 10% deposit is required for motor vehicles and a 20% deposit is required for all other asset types. Spouse-owned property does not count as property backing but can waive a deposit if the borrower is legally married (not de facto).</t>
        </is>
      </c>
      <c r="F10" s="69">
        <f>IFERROR(INDEX(ModelAnswers!$F$2:$F$176,MATCH($A10,ModelAnswers!$A$2:$A$176,0)),"")</f>
        <v/>
      </c>
      <c r="G10" s="70" t="inlineStr">
        <is>
          <t>resimac_customer_tiers</t>
        </is>
      </c>
      <c r="H10" s="71">
        <f>IFERROR(INDEX(ModelAnswers!$G$2:$G$176,MATCH($A10,ModelAnswers!$A$2:$A$176,0)),"")</f>
        <v/>
      </c>
      <c r="I10" s="72">
        <f>IF($H10="","",IF(EXACT(TRIM($G10),TRIM($H10)),1,0))</f>
        <v/>
      </c>
      <c r="J10" s="73" t="n">
        <v>4</v>
      </c>
      <c r="K10" s="58" t="inlineStr">
        <is>
          <t>Retrieval: HIT (expected resimac_customer_tiers, got ['resimac_customer_tiers', 'resimac_settlement', 'resimac_documentation', 'resimac_exclusions', 'resimac_asset_categories']). Auto-scored via source-hit + gold-number-match + keyword-overlap heuristic (see tests/test_queries.py:score_answer). Human reviewer should verify.</t>
        </is>
      </c>
      <c r="L10" s="58" t="n"/>
      <c r="M10" s="74" t="n"/>
    </row>
    <row r="11" ht="35.05" customHeight="1" s="44">
      <c r="A11" s="56" t="inlineStr">
        <is>
          <t>RES-10</t>
        </is>
      </c>
      <c r="B11" s="57" t="inlineStr">
        <is>
          <t>Resimac</t>
        </is>
      </c>
      <c r="C11" s="56" t="inlineStr">
        <is>
          <t>SETTLEMENT</t>
        </is>
      </c>
      <c r="D11" s="56" t="inlineStr">
        <is>
          <t>When does Resimac require a Certificate of Currency?</t>
        </is>
      </c>
      <c r="E11" s="56" t="inlineStr">
        <is>
          <t>Resimac requires a Certificate of Currency (proof of insurance) for NAF amounts greater than $100k. Insurance is required on all deals regardless of size.</t>
        </is>
      </c>
      <c r="F11" s="69">
        <f>IFERROR(INDEX(ModelAnswers!$F$2:$F$176,MATCH($A11,ModelAnswers!$A$2:$A$176,0)),"")</f>
        <v/>
      </c>
      <c r="G11" s="70" t="inlineStr">
        <is>
          <t>resimac_settlement</t>
        </is>
      </c>
      <c r="H11" s="71">
        <f>IFERROR(INDEX(ModelAnswers!$G$2:$G$176,MATCH($A11,ModelAnswers!$A$2:$A$176,0)),"")</f>
        <v/>
      </c>
      <c r="I11" s="72">
        <f>IF($H11="","",IF(EXACT(TRIM($G11),TRIM($H11)),1,0))</f>
        <v/>
      </c>
      <c r="J11" s="73" t="n">
        <v>3</v>
      </c>
      <c r="K11" s="58" t="inlineStr">
        <is>
          <t>Retrieval: HIT (expected resimac_settlement, got ['resimac_settlement', 'resimac_documentation', 'resimac_customer_tiers', 'resimac_fees_brokerage', 'resimac_exclusions']). Auto-scored via source-hit + gold-number-match + keyword-overlap heuristic (see tests/test_queries.py:score_answer). Human reviewer should verify.</t>
        </is>
      </c>
      <c r="L11" s="58" t="n"/>
      <c r="M11" s="74" t="n"/>
    </row>
    <row r="12" ht="57.45" customHeight="1" s="44">
      <c r="A12" s="56" t="inlineStr">
        <is>
          <t>RES-11</t>
        </is>
      </c>
      <c r="B12" s="57" t="inlineStr">
        <is>
          <t>Resimac</t>
        </is>
      </c>
      <c r="C12" s="56" t="inlineStr">
        <is>
          <t>ELIGIBILITY</t>
        </is>
      </c>
      <c r="D12" s="56" t="inlineStr">
        <is>
          <t>What are the minimum Equifax credit scores for a Full Doc application at Resimac?</t>
        </is>
      </c>
      <c r="E12" s="56" t="inlineStr">
        <is>
          <t>For Full Doc, the minimum Equifax score is 600 for a sole trader and 550 for a company/guarantor. Any individual company or guarantor score below 450 results in referral to credit or decline. Resimac uses the highest score among the company or any guarantor as the assessment score.</t>
        </is>
      </c>
      <c r="F12" s="69">
        <f>IFERROR(INDEX(ModelAnswers!$F$2:$F$176,MATCH($A12,ModelAnswers!$A$2:$A$176,0)),"")</f>
        <v/>
      </c>
      <c r="G12" s="70" t="inlineStr">
        <is>
          <t>resimac_customer_tiers</t>
        </is>
      </c>
      <c r="H12" s="71">
        <f>IFERROR(INDEX(ModelAnswers!$G$2:$G$176,MATCH($A12,ModelAnswers!$A$2:$A$176,0)),"")</f>
        <v/>
      </c>
      <c r="I12" s="72">
        <f>IF($H12="","",IF(EXACT(TRIM($G12),TRIM($H12)),1,0))</f>
        <v/>
      </c>
      <c r="J12" s="73" t="n">
        <v>4</v>
      </c>
      <c r="K12" s="58" t="inlineStr">
        <is>
          <t>Retrieval: HIT (expected resimac_customer_tiers, got ['resimac_documentation', 'resimac_loan_limits', 'resimac_customer_tiers', 'resimac_exclusions', 'resimac_interest_rates']). Auto-scored via source-hit + gold-number-match + keyword-overlap heuristic (see tests/test_queries.py:score_answer). Human reviewer should verify.</t>
        </is>
      </c>
      <c r="L12" s="58" t="n"/>
      <c r="M12" s="74" t="n"/>
    </row>
    <row r="13" ht="35.05" customHeight="1" s="44">
      <c r="A13" s="56" t="inlineStr">
        <is>
          <t>RES-12</t>
        </is>
      </c>
      <c r="B13" s="57" t="inlineStr">
        <is>
          <t>Resimac</t>
        </is>
      </c>
      <c r="C13" s="56" t="inlineStr">
        <is>
          <t>LOAN_LIMITS</t>
        </is>
      </c>
      <c r="D13" s="56" t="inlineStr">
        <is>
          <t>What is the maximum loan term at Resimac, including for electric vehicles?</t>
        </is>
      </c>
      <c r="E13" s="56" t="inlineStr">
        <is>
          <t>Standard loan terms are 12-60 months. Green Goods (electric vehicles and sustainable assets) qualify for extended terms up to 84 months.</t>
        </is>
      </c>
      <c r="F13" s="69">
        <f>IFERROR(INDEX(ModelAnswers!$F$2:$F$176,MATCH($A13,ModelAnswers!$A$2:$A$176,0)),"")</f>
        <v/>
      </c>
      <c r="G13" s="70" t="inlineStr">
        <is>
          <t>resimac_loan_limits</t>
        </is>
      </c>
      <c r="H13" s="71">
        <f>IFERROR(INDEX(ModelAnswers!$G$2:$G$176,MATCH($A13,ModelAnswers!$A$2:$A$176,0)),"")</f>
        <v/>
      </c>
      <c r="I13" s="72">
        <f>IF($H13="","",IF(EXACT(TRIM($G13),TRIM($H13)),1,0))</f>
        <v/>
      </c>
      <c r="J13" s="73" t="n">
        <v>3</v>
      </c>
      <c r="K13" s="58" t="inlineStr">
        <is>
          <t>Retrieval: HIT (expected resimac_loan_limits, got ['resimac_loan_limits', 'resimac_interest_rates', 'resimac_asset_categories', 'resimac_fees_brokerage', 'resimac_exclusions']). Auto-scored via source-hit + gold-number-match + keyword-overlap heuristic (see tests/test_queries.py:score_answer). Human reviewer should verify.</t>
        </is>
      </c>
      <c r="L13" s="58" t="n"/>
      <c r="M13" s="74" t="n"/>
    </row>
    <row r="14" ht="46.25" customHeight="1" s="44">
      <c r="A14" s="56" t="inlineStr">
        <is>
          <t>RES-13</t>
        </is>
      </c>
      <c r="B14" s="57" t="inlineStr">
        <is>
          <t>Resimac</t>
        </is>
      </c>
      <c r="C14" s="56" t="inlineStr">
        <is>
          <t>ASSET_ELIGIBILITY</t>
        </is>
      </c>
      <c r="D14" s="56" t="inlineStr">
        <is>
          <t>What balloon percentage is available on a new motor vehicle over a 60-month term at Resimac?</t>
        </is>
      </c>
      <c r="E14" s="56" t="inlineStr">
        <is>
          <t>For a new vehicle (0-3 years) over a 60-month term, the maximum balloon is 40%. Balloon payments are commercial only and exclude secondary assets, tertiary assets, and classic cars.</t>
        </is>
      </c>
      <c r="F14" s="69">
        <f>IFERROR(INDEX(ModelAnswers!$F$2:$F$176,MATCH($A14,ModelAnswers!$A$2:$A$176,0)),"")</f>
        <v/>
      </c>
      <c r="G14" s="70" t="inlineStr">
        <is>
          <t>resimac_asset_categories</t>
        </is>
      </c>
      <c r="H14" s="71">
        <f>IFERROR(INDEX(ModelAnswers!$G$2:$G$176,MATCH($A14,ModelAnswers!$A$2:$A$176,0)),"")</f>
        <v/>
      </c>
      <c r="I14" s="72">
        <f>IF($H14="","",IF(EXACT(TRIM($G14),TRIM($H14)),1,0))</f>
        <v/>
      </c>
      <c r="J14" s="73" t="n">
        <v>3</v>
      </c>
      <c r="K14" s="58" t="inlineStr">
        <is>
          <t>Retrieval: HIT (expected resimac_asset_categories, got ['resimac_asset_categories', 'resimac_interest_rates', 'resimac_loan_limits', 'resimac_customer_tiers', 'resimac_fees_brokerage']). Auto-scored via source-hit + gold-number-match + keyword-overlap heuristic (see tests/test_queries.py:score_answer). Human reviewer should verify.</t>
        </is>
      </c>
      <c r="L14" s="58" t="n"/>
      <c r="M14" s="74" t="n"/>
    </row>
    <row r="15" ht="57.45" customHeight="1" s="44">
      <c r="A15" s="56" t="inlineStr">
        <is>
          <t>RES-14</t>
        </is>
      </c>
      <c r="B15" s="57" t="inlineStr">
        <is>
          <t>Resimac</t>
        </is>
      </c>
      <c r="C15" s="56" t="inlineStr">
        <is>
          <t>PRICING</t>
        </is>
      </c>
      <c r="D15" s="56" t="inlineStr">
        <is>
          <t>What is Resimac's rate for a secondary asset, and how does it compare to a primary asset?</t>
        </is>
      </c>
      <c r="E15" s="56" t="inlineStr">
        <is>
          <t>Secondary assets are priced at 12.39% p.a. (PremiumPLUS) / 12.64% (other tiers). This is materially higher than primary assets, which are 8.39-9.29% (PremiumPLUS) depending on age, reflecting reduced secondary-market liquidity.</t>
        </is>
      </c>
      <c r="F15" s="69">
        <f>IFERROR(INDEX(ModelAnswers!$F$2:$F$176,MATCH($A15,ModelAnswers!$A$2:$A$176,0)),"")</f>
        <v/>
      </c>
      <c r="G15" s="70" t="inlineStr">
        <is>
          <t>resimac_interest_rates</t>
        </is>
      </c>
      <c r="H15" s="71">
        <f>IFERROR(INDEX(ModelAnswers!$G$2:$G$176,MATCH($A15,ModelAnswers!$A$2:$A$176,0)),"")</f>
        <v/>
      </c>
      <c r="I15" s="72">
        <f>IF($H15="","",IF(EXACT(TRIM($G15),TRIM($H15)),1,0))</f>
        <v/>
      </c>
      <c r="J15" s="73" t="n">
        <v>4</v>
      </c>
      <c r="K15" s="58" t="inlineStr">
        <is>
          <t>Retrieval: HIT (expected resimac_interest_rates, got ['resimac_interest_rates', 'resimac_fees_brokerage', 'resimac_asset_categories', 'resimac_loan_limits', 'resimac_settlement']). Auto-scored via source-hit + gold-number-match + keyword-overlap heuristic (see tests/test_queries.py:score_answer). Human reviewer should verify.</t>
        </is>
      </c>
      <c r="L15" s="58" t="n"/>
      <c r="M15" s="74" t="n"/>
    </row>
    <row r="16" ht="46.25" customHeight="1" s="44">
      <c r="A16" s="56" t="inlineStr">
        <is>
          <t>RES-15</t>
        </is>
      </c>
      <c r="B16" s="57" t="inlineStr">
        <is>
          <t>Resimac</t>
        </is>
      </c>
      <c r="C16" s="56" t="inlineStr">
        <is>
          <t>LOAN_LIMITS</t>
        </is>
      </c>
      <c r="D16" s="56" t="inlineStr">
        <is>
          <t>What are Resimac's total exposure limits for an SME versus a government entity?</t>
        </is>
      </c>
      <c r="E16" s="56" t="inlineStr">
        <is>
          <t>SME borrowers have a maximum total exposure of $500k. Government/sovereign entities have a maximum total exposure of $2 million (the same $2m cap applies to S&amp;P 'A' or Moody's 'A2' rated entities).</t>
        </is>
      </c>
      <c r="F16" s="69">
        <f>IFERROR(INDEX(ModelAnswers!$F$2:$F$176,MATCH($A16,ModelAnswers!$A$2:$A$176,0)),"")</f>
        <v/>
      </c>
      <c r="G16" s="70" t="inlineStr">
        <is>
          <t>resimac_loan_limits</t>
        </is>
      </c>
      <c r="H16" s="71">
        <f>IFERROR(INDEX(ModelAnswers!$G$2:$G$176,MATCH($A16,ModelAnswers!$A$2:$A$176,0)),"")</f>
        <v/>
      </c>
      <c r="I16" s="72">
        <f>IF($H16="","",IF(EXACT(TRIM($G16),TRIM($H16)),1,0))</f>
        <v/>
      </c>
      <c r="J16" s="73" t="n">
        <v>3</v>
      </c>
      <c r="K16" s="58" t="inlineStr">
        <is>
          <t>Retrieval: HIT (expected resimac_loan_limits, got ['resimac_loan_limits', 'resimac_fees_brokerage', 'resimac_documentation', 'resimac_interest_rates', 'resimac_customer_tiers']). Auto-scored via source-hit + gold-number-match + keyword-overlap heuristic (see tests/test_queries.py:score_answer). Human reviewer should verify.</t>
        </is>
      </c>
      <c r="L16" s="58" t="n"/>
      <c r="M16" s="74" t="n"/>
    </row>
    <row r="17" ht="46.25" customHeight="1" s="44">
      <c r="A17" s="56" t="inlineStr">
        <is>
          <t>RES-16</t>
        </is>
      </c>
      <c r="B17" s="57" t="inlineStr">
        <is>
          <t>Resimac</t>
        </is>
      </c>
      <c r="C17" s="56" t="inlineStr">
        <is>
          <t>ELIGIBILITY</t>
        </is>
      </c>
      <c r="D17" s="56" t="inlineStr">
        <is>
          <t>Does Resimac accept renters, and under which tiers?</t>
        </is>
      </c>
      <c r="E17" s="56" t="inlineStr">
        <is>
          <t>Renters are accepted under the Standard and Basic tiers only. PremiumPLUS and Premium are property-backed only. Spouse-owned property does not constitute property backing but can waive a deposit.</t>
        </is>
      </c>
      <c r="F17" s="69">
        <f>IFERROR(INDEX(ModelAnswers!$F$2:$F$176,MATCH($A17,ModelAnswers!$A$2:$A$176,0)),"")</f>
        <v/>
      </c>
      <c r="G17" s="70" t="inlineStr">
        <is>
          <t>resimac_customer_tiers</t>
        </is>
      </c>
      <c r="H17" s="71">
        <f>IFERROR(INDEX(ModelAnswers!$G$2:$G$176,MATCH($A17,ModelAnswers!$A$2:$A$176,0)),"")</f>
        <v/>
      </c>
      <c r="I17" s="72">
        <f>IF($H17="","",IF(EXACT(TRIM($G17),TRIM($H17)),1,0))</f>
        <v/>
      </c>
      <c r="J17" s="73" t="n">
        <v>4</v>
      </c>
      <c r="K17" s="58" t="inlineStr">
        <is>
          <t>Retrieval: HIT (expected resimac_customer_tiers, got ['resimac_customer_tiers', 'resimac_exclusions', 'resimac_loan_limits', 'resimac_fees_brokerage', 'resimac_documentation']). Auto-scored via source-hit + gold-number-match + keyword-overlap heuristic (see tests/test_queries.py:score_answer). Human reviewer should verify.</t>
        </is>
      </c>
      <c r="L17" s="58" t="n"/>
      <c r="M17" s="74" t="n"/>
    </row>
    <row r="18" ht="35.05" customHeight="1" s="44">
      <c r="A18" s="56" t="inlineStr">
        <is>
          <t>RES-17</t>
        </is>
      </c>
      <c r="B18" s="57" t="inlineStr">
        <is>
          <t>Resimac</t>
        </is>
      </c>
      <c r="C18" s="56" t="inlineStr">
        <is>
          <t>EXCLUSIONS</t>
        </is>
      </c>
      <c r="D18" s="56" t="inlineStr">
        <is>
          <t>Can a discharged bankrupt get finance from Resimac?</t>
        </is>
      </c>
      <c r="E18" s="56" t="inlineStr">
        <is>
          <t>No. Resimac does not accept discharged bankrupts within the last 10 years, and does not accept current bankrupts at all.</t>
        </is>
      </c>
      <c r="F18" s="69">
        <f>IFERROR(INDEX(ModelAnswers!$F$2:$F$176,MATCH($A18,ModelAnswers!$A$2:$A$176,0)),"")</f>
        <v/>
      </c>
      <c r="G18" s="70" t="inlineStr">
        <is>
          <t>resimac_exclusions</t>
        </is>
      </c>
      <c r="H18" s="71">
        <f>IFERROR(INDEX(ModelAnswers!$G$2:$G$176,MATCH($A18,ModelAnswers!$A$2:$A$176,0)),"")</f>
        <v/>
      </c>
      <c r="I18" s="72">
        <f>IF($H18="","",IF(EXACT(TRIM($G18),TRIM($H18)),1,0))</f>
        <v/>
      </c>
      <c r="J18" s="73" t="n">
        <v>2</v>
      </c>
      <c r="K18" s="58" t="inlineStr">
        <is>
          <t>Retrieval: HIT (expected resimac_exclusions, got ['resimac_exclusions', 'resimac_asset_categories', 'resimac_loan_limits', 'resimac_customer_tiers', 'resimac_documentation']). Auto-scored via source-hit + gold-number-match + keyword-overlap heuristic (see tests/test_queries.py:score_answer). Human reviewer should verify.</t>
        </is>
      </c>
      <c r="L18" s="58" t="n"/>
      <c r="M18" s="74" t="n"/>
    </row>
    <row r="19" ht="46.25" customHeight="1" s="44">
      <c r="A19" s="56" t="inlineStr">
        <is>
          <t>RES-18</t>
        </is>
      </c>
      <c r="B19" s="57" t="inlineStr">
        <is>
          <t>Resimac</t>
        </is>
      </c>
      <c r="C19" s="56" t="inlineStr">
        <is>
          <t>DOCUMENTATION</t>
        </is>
      </c>
      <c r="D19" s="56" t="inlineStr">
        <is>
          <t>What documents are required for a Resimac Low Doc application?</t>
        </is>
      </c>
      <c r="E19" s="56" t="inlineStr">
        <is>
          <t>Low Doc requires only an application plus privacy consent and an asset &amp; liability statement. No ATO portals, BAS, or bank statements are required. Low Doc is not available for tertiary assets.</t>
        </is>
      </c>
      <c r="F19" s="69">
        <f>IFERROR(INDEX(ModelAnswers!$F$2:$F$176,MATCH($A19,ModelAnswers!$A$2:$A$176,0)),"")</f>
        <v/>
      </c>
      <c r="G19" s="70" t="inlineStr">
        <is>
          <t>resimac_documentation</t>
        </is>
      </c>
      <c r="H19" s="71">
        <f>IFERROR(INDEX(ModelAnswers!$G$2:$G$176,MATCH($A19,ModelAnswers!$A$2:$A$176,0)),"")</f>
        <v/>
      </c>
      <c r="I19" s="72">
        <f>IF($H19="","",IF(EXACT(TRIM($G19),TRIM($H19)),1,0))</f>
        <v/>
      </c>
      <c r="J19" s="73" t="n">
        <v>4</v>
      </c>
      <c r="K19" s="58" t="inlineStr">
        <is>
          <t>Retrieval: HIT (expected resimac_documentation, got ['resimac_documentation', 'resimac_settlement', 'resimac_customer_tiers', 'resimac_loan_limits', 'resimac_exclusions']). Auto-scored via source-hit + gold-number-match + keyword-overlap heuristic (see tests/test_queries.py:score_answer). Human reviewer should verify.</t>
        </is>
      </c>
      <c r="L19" s="58" t="n"/>
      <c r="M19" s="74" t="n"/>
    </row>
    <row r="20" ht="35.05" customHeight="1" s="44">
      <c r="A20" s="56" t="inlineStr">
        <is>
          <t>RES-19</t>
        </is>
      </c>
      <c r="B20" s="57" t="inlineStr">
        <is>
          <t>Resimac</t>
        </is>
      </c>
      <c r="C20" s="56" t="inlineStr">
        <is>
          <t>PRICING</t>
        </is>
      </c>
      <c r="D20" s="56" t="inlineStr">
        <is>
          <t>What is the PremiumPLUS discount at Resimac?</t>
        </is>
      </c>
      <c r="E20" s="56" t="inlineStr">
        <is>
          <t>PremiumPLUS clients receive a 25 basis point (0.25%) discount below the Premium/Standard/Basic rate for the same asset category.</t>
        </is>
      </c>
      <c r="F20" s="69">
        <f>IFERROR(INDEX(ModelAnswers!$F$2:$F$176,MATCH($A20,ModelAnswers!$A$2:$A$176,0)),"")</f>
        <v/>
      </c>
      <c r="G20" s="70" t="inlineStr">
        <is>
          <t>resimac_interest_rates</t>
        </is>
      </c>
      <c r="H20" s="71">
        <f>IFERROR(INDEX(ModelAnswers!$G$2:$G$176,MATCH($A20,ModelAnswers!$A$2:$A$176,0)),"")</f>
        <v/>
      </c>
      <c r="I20" s="72">
        <f>IF($H20="","",IF(EXACT(TRIM($G20),TRIM($H20)),1,0))</f>
        <v/>
      </c>
      <c r="J20" s="73" t="n">
        <v>3</v>
      </c>
      <c r="K20" s="58" t="inlineStr">
        <is>
          <t>Retrieval: HIT (expected resimac_interest_rates, got ['resimac_interest_rates', 'resimac_fees_brokerage', 'resimac_customer_tiers', 'resimac_loan_limits', 'resimac_exclusions']). Auto-scored via source-hit + gold-number-match + keyword-overlap heuristic (see tests/test_queries.py:score_answer). Human reviewer should verify.</t>
        </is>
      </c>
      <c r="L20" s="58" t="n"/>
      <c r="M20" s="74" t="n"/>
    </row>
    <row r="21" ht="23.85" customHeight="1" s="44">
      <c r="A21" s="56" t="inlineStr">
        <is>
          <t>RES-20</t>
        </is>
      </c>
      <c r="B21" s="57" t="inlineStr">
        <is>
          <t>Resimac</t>
        </is>
      </c>
      <c r="C21" s="56" t="inlineStr">
        <is>
          <t>ASSET_ELIGIBILITY</t>
        </is>
      </c>
      <c r="D21" s="56" t="inlineStr">
        <is>
          <t>What is the maximum NAF Resimac will finance for a single motorbike?</t>
        </is>
      </c>
      <c r="E21" s="56" t="inlineStr">
        <is>
          <t>The maximum NAF per motorbike is $75k. Motorbikes are classified under Motor Vehicles.</t>
        </is>
      </c>
      <c r="F21" s="69">
        <f>IFERROR(INDEX(ModelAnswers!$F$2:$F$176,MATCH($A21,ModelAnswers!$A$2:$A$176,0)),"")</f>
        <v/>
      </c>
      <c r="G21" s="70" t="inlineStr">
        <is>
          <t>resimac_asset_categories</t>
        </is>
      </c>
      <c r="H21" s="71">
        <f>IFERROR(INDEX(ModelAnswers!$G$2:$G$176,MATCH($A21,ModelAnswers!$A$2:$A$176,0)),"")</f>
        <v/>
      </c>
      <c r="I21" s="72">
        <f>IF($H21="","",IF(EXACT(TRIM($G21),TRIM($H21)),1,0))</f>
        <v/>
      </c>
      <c r="J21" s="73" t="n">
        <v>4</v>
      </c>
      <c r="K21" s="58" t="inlineStr">
        <is>
          <t>Retrieval: HIT (expected resimac_asset_categories, got ['resimac_loan_limits', 'resimac_asset_categories', 'resimac_interest_rates', 'resimac_fees_brokerage', 'resimac_settlement']). Auto-scored via source-hit + gold-number-match + keyword-overlap heuristic (see tests/test_queries.py:score_answer). Human reviewer should verify.</t>
        </is>
      </c>
      <c r="L21" s="58" t="n"/>
      <c r="M21" s="74" t="n"/>
    </row>
    <row r="22" ht="35.05" customHeight="1" s="44">
      <c r="A22" s="56" t="inlineStr">
        <is>
          <t>RES-21</t>
        </is>
      </c>
      <c r="B22" s="57" t="inlineStr">
        <is>
          <t>Resimac</t>
        </is>
      </c>
      <c r="C22" s="56" t="inlineStr">
        <is>
          <t>ELIGIBILITY</t>
        </is>
      </c>
      <c r="D22" s="56" t="inlineStr">
        <is>
          <t>How many customer tiers does Resimac use and what are they?</t>
        </is>
      </c>
      <c r="E22" s="56" t="inlineStr">
        <is>
          <t>Resimac uses four customer tiers: PremiumPLUS, Premium, Standard, and Basic. Tier determines interest rate, maximum loan amount, and accepted property types.</t>
        </is>
      </c>
      <c r="F22" s="69">
        <f>IFERROR(INDEX(ModelAnswers!$F$2:$F$176,MATCH($A22,ModelAnswers!$A$2:$A$176,0)),"")</f>
        <v/>
      </c>
      <c r="G22" s="70" t="inlineStr">
        <is>
          <t>resimac_customer_tiers</t>
        </is>
      </c>
      <c r="H22" s="71">
        <f>IFERROR(INDEX(ModelAnswers!$G$2:$G$176,MATCH($A22,ModelAnswers!$A$2:$A$176,0)),"")</f>
        <v/>
      </c>
      <c r="I22" s="72">
        <f>IF($H22="","",IF(EXACT(TRIM($G22),TRIM($H22)),1,0))</f>
        <v/>
      </c>
      <c r="J22" s="73" t="n">
        <v>4</v>
      </c>
      <c r="K22" s="58" t="inlineStr">
        <is>
          <t>Retrieval: HIT (expected resimac_customer_tiers, got ['resimac_customer_tiers', 'resimac_loan_limits', 'resimac_interest_rates', 'resimac_fees_brokerage', 'resimac_asset_categories']). Auto-scored via source-hit + gold-number-match + keyword-overlap heuristic (see tests/test_queries.py:score_answer). Human reviewer should verify.</t>
        </is>
      </c>
      <c r="L22" s="58" t="n"/>
      <c r="M22" s="74" t="n"/>
    </row>
    <row r="23" ht="23.85" customHeight="1" s="44">
      <c r="A23" s="56" t="inlineStr">
        <is>
          <t>RES-22</t>
        </is>
      </c>
      <c r="B23" s="57" t="inlineStr">
        <is>
          <t>Resimac</t>
        </is>
      </c>
      <c r="C23" s="56" t="inlineStr">
        <is>
          <t>EXCLUSIONS</t>
        </is>
      </c>
      <c r="D23" s="56" t="inlineStr">
        <is>
          <t>Does Resimac offer consumer (personal use) loans?</t>
        </is>
      </c>
      <c r="E23" s="56" t="inlineStr">
        <is>
          <t>No. Resimac finances commercial ABN holders only — there are no personal/consumer loans.</t>
        </is>
      </c>
      <c r="F23" s="69">
        <f>IFERROR(INDEX(ModelAnswers!$F$2:$F$176,MATCH($A23,ModelAnswers!$A$2:$A$176,0)),"")</f>
        <v/>
      </c>
      <c r="G23" s="70" t="inlineStr">
        <is>
          <t>resimac_exclusions</t>
        </is>
      </c>
      <c r="H23" s="71">
        <f>IFERROR(INDEX(ModelAnswers!$G$2:$G$176,MATCH($A23,ModelAnswers!$A$2:$A$176,0)),"")</f>
        <v/>
      </c>
      <c r="I23" s="72">
        <f>IF($H23="","",IF(EXACT(TRIM($G23),TRIM($H23)),1,0))</f>
        <v/>
      </c>
      <c r="J23" s="73" t="n">
        <v>4</v>
      </c>
      <c r="K23" s="58" t="inlineStr">
        <is>
          <t>Retrieval: HIT (expected resimac_exclusions, got ['resimac_exclusions', 'resimac_loan_limits', 'resimac_interest_rates', 'resimac_customer_tiers', 'resimac_fees_brokerage']). Auto-scored via source-hit + gold-number-match + keyword-overlap heuristic (see tests/test_queries.py:score_answer). Human reviewer should verify.</t>
        </is>
      </c>
      <c r="L23" s="58" t="n"/>
      <c r="M23" s="74" t="n"/>
    </row>
    <row r="24" ht="23.85" customHeight="1" s="44">
      <c r="A24" s="56" t="inlineStr">
        <is>
          <t>RES-23</t>
        </is>
      </c>
      <c r="B24" s="57" t="inlineStr">
        <is>
          <t>Resimac</t>
        </is>
      </c>
      <c r="C24" s="56" t="inlineStr">
        <is>
          <t>PRICING</t>
        </is>
      </c>
      <c r="D24" s="56" t="inlineStr">
        <is>
          <t>What is Resimac's rate for a tertiary asset?</t>
        </is>
      </c>
      <c r="E24" s="56" t="inlineStr">
        <is>
          <t>Tertiary assets are priced at 14.09% p.a. (PremiumPLUS) / 14.34% (other tiers) — the highest rate in Resimac's range.</t>
        </is>
      </c>
      <c r="F24" s="69">
        <f>IFERROR(INDEX(ModelAnswers!$F$2:$F$176,MATCH($A24,ModelAnswers!$A$2:$A$176,0)),"")</f>
        <v/>
      </c>
      <c r="G24" s="70" t="inlineStr">
        <is>
          <t>resimac_interest_rates</t>
        </is>
      </c>
      <c r="H24" s="71">
        <f>IFERROR(INDEX(ModelAnswers!$G$2:$G$176,MATCH($A24,ModelAnswers!$A$2:$A$176,0)),"")</f>
        <v/>
      </c>
      <c r="I24" s="72">
        <f>IF($H24="","",IF(EXACT(TRIM($G24),TRIM($H24)),1,0))</f>
        <v/>
      </c>
      <c r="J24" s="73" t="n">
        <v>2</v>
      </c>
      <c r="K24" s="58" t="inlineStr">
        <is>
          <t>Retrieval: HIT (expected resimac_interest_rates, got ['resimac_interest_rates', 'resimac_fees_brokerage', 'resimac_asset_categories', 'resimac_settlement', 'resimac_loan_limits']). Auto-scored via source-hit + gold-number-match + keyword-overlap heuristic (see tests/test_queries.py:score_answer). Human reviewer should verify.</t>
        </is>
      </c>
      <c r="L24" s="58" t="n"/>
      <c r="M24" s="74" t="n"/>
    </row>
    <row r="25" ht="23.85" customHeight="1" s="44">
      <c r="A25" s="56" t="inlineStr">
        <is>
          <t>RES-24</t>
        </is>
      </c>
      <c r="B25" s="57" t="inlineStr">
        <is>
          <t>Resimac</t>
        </is>
      </c>
      <c r="C25" s="56" t="inlineStr">
        <is>
          <t>LOAN_LIMITS</t>
        </is>
      </c>
      <c r="D25" s="56" t="inlineStr">
        <is>
          <t>What is the maximum loan term Resimac offers on a standard (non-Green) contract?</t>
        </is>
      </c>
      <c r="E25" s="56" t="inlineStr">
        <is>
          <t>Standard (non-Green Goods) loan terms are 12-60 months.</t>
        </is>
      </c>
      <c r="F25" s="69">
        <f>IFERROR(INDEX(ModelAnswers!$F$2:$F$176,MATCH($A25,ModelAnswers!$A$2:$A$176,0)),"")</f>
        <v/>
      </c>
      <c r="G25" s="70" t="inlineStr">
        <is>
          <t>resimac_loan_limits</t>
        </is>
      </c>
      <c r="H25" s="71">
        <f>IFERROR(INDEX(ModelAnswers!$G$2:$G$176,MATCH($A25,ModelAnswers!$A$2:$A$176,0)),"")</f>
        <v/>
      </c>
      <c r="I25" s="72">
        <f>IF($H25="","",IF(EXACT(TRIM($G25),TRIM($H25)),1,0))</f>
        <v/>
      </c>
      <c r="J25" s="73" t="n">
        <v>3</v>
      </c>
      <c r="K25" s="58" t="inlineStr">
        <is>
          <t>Retrieval: HIT (expected resimac_loan_limits, got ['resimac_loan_limits', 'resimac_interest_rates', 'resimac_fees_brokerage', 'resimac_asset_categories', 'resimac_customer_tiers']). Auto-scored via source-hit + gold-number-match + keyword-overlap heuristic (see tests/test_queries.py:score_answer). Human reviewer should verify.</t>
        </is>
      </c>
      <c r="L25" s="58" t="n"/>
      <c r="M25" s="74" t="n"/>
    </row>
    <row r="26" ht="23.85" customHeight="1" s="44">
      <c r="A26" s="56" t="inlineStr">
        <is>
          <t>RES-25</t>
        </is>
      </c>
      <c r="B26" s="57" t="inlineStr">
        <is>
          <t>Resimac</t>
        </is>
      </c>
      <c r="C26" s="56" t="inlineStr">
        <is>
          <t>SETTLEMENT</t>
        </is>
      </c>
      <c r="D26" s="56" t="inlineStr">
        <is>
          <t>Does Resimac require PPSR registration on financed assets?</t>
        </is>
      </c>
      <c r="E26" s="56" t="inlineStr">
        <is>
          <t>Yes. PPSR registration is required on all financed assets, with PPSR fees charged at cost.</t>
        </is>
      </c>
      <c r="F26" s="69">
        <f>IFERROR(INDEX(ModelAnswers!$F$2:$F$176,MATCH($A26,ModelAnswers!$A$2:$A$176,0)),"")</f>
        <v/>
      </c>
      <c r="G26" s="70" t="inlineStr">
        <is>
          <t>resimac_settlement</t>
        </is>
      </c>
      <c r="H26" s="71">
        <f>IFERROR(INDEX(ModelAnswers!$G$2:$G$176,MATCH($A26,ModelAnswers!$A$2:$A$176,0)),"")</f>
        <v/>
      </c>
      <c r="I26" s="72">
        <f>IF($H26="","",IF(EXACT(TRIM($G26),TRIM($H26)),1,0))</f>
        <v/>
      </c>
      <c r="J26" s="73" t="n">
        <v>4</v>
      </c>
      <c r="K26" s="58" t="inlineStr">
        <is>
          <t>Retrieval: HIT (expected resimac_settlement, got ['resimac_settlement', 'resimac_exclusions', 'resimac_fees_brokerage', 'resimac_documentation', 'resimac_customer_tiers']). Auto-scored via source-hit + gold-number-match + keyword-overlap heuristic (see tests/test_queries.py:score_answer). Human reviewer should verify.</t>
        </is>
      </c>
      <c r="L26" s="58" t="n"/>
      <c r="M26" s="74" t="n"/>
    </row>
    <row r="27" ht="46.25" customHeight="1" s="44">
      <c r="A27" s="56" t="inlineStr">
        <is>
          <t>BFS-01</t>
        </is>
      </c>
      <c r="B27" s="63" t="inlineStr">
        <is>
          <t>BFS</t>
        </is>
      </c>
      <c r="C27" s="56" t="inlineStr">
        <is>
          <t>ELIGIBILITY</t>
        </is>
      </c>
      <c r="D27" s="56" t="inlineStr">
        <is>
          <t>What minimum Experian CCR score does BFS require for the Ultra Prime tier?</t>
        </is>
      </c>
      <c r="E27" s="56" t="inlineStr">
        <is>
          <t>BFS's Ultra Prime tier requires a minimum Experian CCR score of 960. It offers the best rates and access to all products. BFS tiers are based on the Experian CCR score of the primary borrower or guarantor.</t>
        </is>
      </c>
      <c r="F27" s="69">
        <f>IFERROR(INDEX(ModelAnswers!$F$2:$F$176,MATCH($A27,ModelAnswers!$A$2:$A$176,0)),"")</f>
        <v/>
      </c>
      <c r="G27" s="70" t="inlineStr">
        <is>
          <t>bfs_customer_tiers</t>
        </is>
      </c>
      <c r="H27" s="71">
        <f>IFERROR(INDEX(ModelAnswers!$G$2:$G$176,MATCH($A27,ModelAnswers!$A$2:$A$176,0)),"")</f>
        <v/>
      </c>
      <c r="I27" s="72">
        <f>IF($H27="","",IF(EXACT(TRIM($G27),TRIM($H27)),1,0))</f>
        <v/>
      </c>
      <c r="J27" s="73" t="n">
        <v>3</v>
      </c>
      <c r="K27" s="58" t="inlineStr">
        <is>
          <t>Retrieval: HIT (expected bfs_customer_tiers, got ['bfs_customer_tiers', 'bfs_commercial_documentation', 'bfs_consumer_rates', 'bfs_commercial_rates', 'bfs_exclusions']). Auto-scored via source-hit + gold-number-match + keyword-overlap heuristic (see tests/test_queries.py:score_answer). Human reviewer should verify.</t>
        </is>
      </c>
      <c r="L27" s="58" t="n"/>
      <c r="M27" s="74" t="n"/>
    </row>
    <row r="28" ht="35.05" customHeight="1" s="44">
      <c r="A28" s="56" t="inlineStr">
        <is>
          <t>BFS-02</t>
        </is>
      </c>
      <c r="B28" s="63" t="inlineStr">
        <is>
          <t>BFS</t>
        </is>
      </c>
      <c r="C28" s="56" t="inlineStr">
        <is>
          <t>ELIGIBILITY</t>
        </is>
      </c>
      <c r="D28" s="56" t="inlineStr">
        <is>
          <t>Which BFS tiers require an additional 20% deposit?</t>
        </is>
      </c>
      <c r="E28" s="56" t="inlineStr">
        <is>
          <t>Tier 3 (min CCR 550) and Tier 4 (min CCR 400) both require an additional 20% deposit. Tier 4 also cannot write commercial used-vehicle contracts.</t>
        </is>
      </c>
      <c r="F28" s="69">
        <f>IFERROR(INDEX(ModelAnswers!$F$2:$F$176,MATCH($A28,ModelAnswers!$A$2:$A$176,0)),"")</f>
        <v/>
      </c>
      <c r="G28" s="70" t="inlineStr">
        <is>
          <t>bfs_customer_tiers</t>
        </is>
      </c>
      <c r="H28" s="71">
        <f>IFERROR(INDEX(ModelAnswers!$G$2:$G$176,MATCH($A28,ModelAnswers!$A$2:$A$176,0)),"")</f>
        <v/>
      </c>
      <c r="I28" s="72">
        <f>IF($H28="","",IF(EXACT(TRIM($G28),TRIM($H28)),1,0))</f>
        <v/>
      </c>
      <c r="J28" s="73" t="n">
        <v>3</v>
      </c>
      <c r="K28" s="58" t="inlineStr">
        <is>
          <t>Retrieval: HIT (expected bfs_customer_tiers, got ['bfs_customer_tiers', 'bfs_exclusions', 'bfs_consumer_rates', 'bfs_commercial_rates', 'bfs_commercial_documentation']). Auto-scored via source-hit + gold-number-match + keyword-overlap heuristic (see tests/test_queries.py:score_answer). Human reviewer should verify.</t>
        </is>
      </c>
      <c r="L28" s="58" t="n"/>
      <c r="M28" s="74" t="n"/>
    </row>
    <row r="29" ht="35.05" customHeight="1" s="44">
      <c r="A29" s="56" t="inlineStr">
        <is>
          <t>BFS-03</t>
        </is>
      </c>
      <c r="B29" s="63" t="inlineStr">
        <is>
          <t>BFS</t>
        </is>
      </c>
      <c r="C29" s="56" t="inlineStr">
        <is>
          <t>PRICING</t>
        </is>
      </c>
      <c r="D29" s="56" t="inlineStr">
        <is>
          <t>What is BFS's commercial base rate for a new/demo vehicle under Tier 1, and what is the maximum broker margin?</t>
        </is>
      </c>
      <c r="E29" s="56" t="inlineStr">
        <is>
          <t>The Tier 1 commercial base rate for a new/demo vehicle is 8.25% p.a. Brokers may add a margin up to a maximum of +6% above base, subject to an overall rate cap of 17.15%.</t>
        </is>
      </c>
      <c r="F29" s="69">
        <f>IFERROR(INDEX(ModelAnswers!$F$2:$F$176,MATCH($A29,ModelAnswers!$A$2:$A$176,0)),"")</f>
        <v/>
      </c>
      <c r="G29" s="70" t="inlineStr">
        <is>
          <t>bfs_commercial_rates</t>
        </is>
      </c>
      <c r="H29" s="71">
        <f>IFERROR(INDEX(ModelAnswers!$G$2:$G$176,MATCH($A29,ModelAnswers!$A$2:$A$176,0)),"")</f>
        <v/>
      </c>
      <c r="I29" s="72">
        <f>IF($H29="","",IF(EXACT(TRIM($G29),TRIM($H29)),1,0))</f>
        <v/>
      </c>
      <c r="J29" s="73" t="n">
        <v>3</v>
      </c>
      <c r="K29" s="58" t="inlineStr">
        <is>
          <t>Retrieval: HIT (expected bfs_commercial_rates, got ['bfs_commercial_rates', 'bfs_consumer_rates', 'bfs_loan_limits_terms', 'bfs_customer_tiers', 'bfs_private_sales']). Auto-scored via source-hit + gold-number-match + keyword-overlap heuristic (see tests/test_queries.py:score_answer). Human reviewer should verify.</t>
        </is>
      </c>
      <c r="L29" s="58" t="n"/>
      <c r="M29" s="74" t="n"/>
    </row>
    <row r="30" ht="35.05" customHeight="1" s="44">
      <c r="A30" s="56" t="inlineStr">
        <is>
          <t>BFS-04</t>
        </is>
      </c>
      <c r="B30" s="63" t="inlineStr">
        <is>
          <t>BFS</t>
        </is>
      </c>
      <c r="C30" s="56" t="inlineStr">
        <is>
          <t>LOAN_LIMITS</t>
        </is>
      </c>
      <c r="D30" s="56" t="inlineStr">
        <is>
          <t>What is BFS's maximum loan term for the PRIME group, and the maximum vehicle age for terms over 60 months?</t>
        </is>
      </c>
      <c r="E30" s="56" t="inlineStr">
        <is>
          <t>PRIME terms range from 12 to 84 months. For terms over 60 months, the maximum vehicle age is 7 years at start of term; for terms of 60 months or less it is 15 years at start of term.</t>
        </is>
      </c>
      <c r="F30" s="69">
        <f>IFERROR(INDEX(ModelAnswers!$F$2:$F$176,MATCH($A30,ModelAnswers!$A$2:$A$176,0)),"")</f>
        <v/>
      </c>
      <c r="G30" s="70" t="inlineStr">
        <is>
          <t>bfs_loan_limits_terms</t>
        </is>
      </c>
      <c r="H30" s="71">
        <f>IFERROR(INDEX(ModelAnswers!$G$2:$G$176,MATCH($A30,ModelAnswers!$A$2:$A$176,0)),"")</f>
        <v/>
      </c>
      <c r="I30" s="72">
        <f>IF($H30="","",IF(EXACT(TRIM($G30),TRIM($H30)),1,0))</f>
        <v/>
      </c>
      <c r="J30" s="73" t="n">
        <v>3</v>
      </c>
      <c r="K30" s="58" t="inlineStr">
        <is>
          <t>Retrieval: HIT (expected bfs_loan_limits_terms, got ['bfs_loan_limits_terms', 'bfs_consumer_rates', 'bfs_commercial_rates', 'bfs_vehicle_types', 'bfs_private_sales']). Auto-scored via source-hit + gold-number-match + keyword-overlap heuristic (see tests/test_queries.py:score_answer). Human reviewer should verify.</t>
        </is>
      </c>
      <c r="L30" s="58" t="n"/>
      <c r="M30" s="74" t="n"/>
    </row>
    <row r="31" ht="46.25" customHeight="1" s="44">
      <c r="A31" s="56" t="inlineStr">
        <is>
          <t>BFS-05</t>
        </is>
      </c>
      <c r="B31" s="63" t="inlineStr">
        <is>
          <t>BFS</t>
        </is>
      </c>
      <c r="C31" s="56" t="inlineStr">
        <is>
          <t>ASSET_ELIGIBILITY</t>
        </is>
      </c>
      <c r="D31" s="56" t="inlineStr">
        <is>
          <t>Can BFS finance heavy equipment or plant?</t>
        </is>
      </c>
      <c r="E31" s="56" t="inlineStr">
        <is>
          <t>No. BFS finances motor vehicles only (all under 4.5T GVM) — passenger vehicles, light commercial, motorcycles, motorhomes, campervans, caravans and camper trailers. It does not finance heavy equipment, plant, or agriculture.</t>
        </is>
      </c>
      <c r="F31" s="69">
        <f>IFERROR(INDEX(ModelAnswers!$F$2:$F$176,MATCH($A31,ModelAnswers!$A$2:$A$176,0)),"")</f>
        <v/>
      </c>
      <c r="G31" s="70" t="inlineStr">
        <is>
          <t>bfs_vehicle_types</t>
        </is>
      </c>
      <c r="H31" s="71">
        <f>IFERROR(INDEX(ModelAnswers!$G$2:$G$176,MATCH($A31,ModelAnswers!$A$2:$A$176,0)),"")</f>
        <v/>
      </c>
      <c r="I31" s="72">
        <f>IF($H31="","",IF(EXACT(TRIM($G31),TRIM($H31)),1,0))</f>
        <v/>
      </c>
      <c r="J31" s="73" t="n">
        <v>2</v>
      </c>
      <c r="K31" s="58" t="inlineStr">
        <is>
          <t>Retrieval: HIT (expected bfs_vehicle_types, got ['bfs_vehicle_types', 'bfs_loan_limits_terms', 'bfs_commercial_rates', 'bfs_commercial_documentation', 'bfs_consumer_rates', 'bfs_private_sales']). Auto-scored via source-hit + gold-number-match + keyword-overlap heuristic (see tests/test_queries.py:score_answer). Human reviewer should verify.</t>
        </is>
      </c>
      <c r="L31" s="58" t="n"/>
      <c r="M31" s="74" t="n"/>
    </row>
    <row r="32" ht="35.05" customHeight="1" s="44">
      <c r="A32" s="56" t="inlineStr">
        <is>
          <t>BFS-06</t>
        </is>
      </c>
      <c r="B32" s="63" t="inlineStr">
        <is>
          <t>BFS</t>
        </is>
      </c>
      <c r="C32" s="56" t="inlineStr">
        <is>
          <t>EXCLUSIONS</t>
        </is>
      </c>
      <c r="D32" s="56" t="inlineStr">
        <is>
          <t>Can a BFS loan be used for debt consolidation or cash raising?</t>
        </is>
      </c>
      <c r="E32" s="56" t="inlineStr">
        <is>
          <t>No. Debt consolidation, cash raising, top-up loans, sale and buyback, sale and leaseback, and mid-term refinancing are all excluded loan purposes across all tiers with no exceptions.</t>
        </is>
      </c>
      <c r="F32" s="69">
        <f>IFERROR(INDEX(ModelAnswers!$F$2:$F$176,MATCH($A32,ModelAnswers!$A$2:$A$176,0)),"")</f>
        <v/>
      </c>
      <c r="G32" s="70" t="inlineStr">
        <is>
          <t>bfs_exclusions</t>
        </is>
      </c>
      <c r="H32" s="71">
        <f>IFERROR(INDEX(ModelAnswers!$G$2:$G$176,MATCH($A32,ModelAnswers!$A$2:$A$176,0)),"")</f>
        <v/>
      </c>
      <c r="I32" s="72">
        <f>IF($H32="","",IF(EXACT(TRIM($G32),TRIM($H32)),1,0))</f>
        <v/>
      </c>
      <c r="J32" s="73" t="n">
        <v>4</v>
      </c>
      <c r="K32" s="58" t="inlineStr">
        <is>
          <t>Retrieval: HIT (expected bfs_exclusions, got ['bfs_exclusions', 'bfs_loan_limits_terms', 'bfs_vehicle_types', 'bfs_consumer_documentation', 'bfs_commercial_documentation']). Auto-scored via source-hit + gold-number-match + keyword-overlap heuristic (see tests/test_queries.py:score_answer). Human reviewer should verify.</t>
        </is>
      </c>
      <c r="L32" s="58" t="n"/>
      <c r="M32" s="74" t="n"/>
    </row>
    <row r="33" ht="57.45" customHeight="1" s="44">
      <c r="A33" s="56" t="inlineStr">
        <is>
          <t>BFS-07</t>
        </is>
      </c>
      <c r="B33" s="63" t="inlineStr">
        <is>
          <t>BFS</t>
        </is>
      </c>
      <c r="C33" s="56" t="inlineStr">
        <is>
          <t>ASSET_ELIGIBILITY</t>
        </is>
      </c>
      <c r="D33" s="56" t="inlineStr">
        <is>
          <t>What rate loading and inspection requirement apply to a BFS private sale?</t>
        </is>
      </c>
      <c r="E33" s="56" t="inlineStr">
        <is>
          <t>Private sales attract a +0.50% rate loading on both commercial and consumer rates and require a vehicle inspection report (DoxAI Asset Verification, preferred, or Redbook). Private sales are capped at $150k (PRIME) and must be arm's length.</t>
        </is>
      </c>
      <c r="F33" s="69">
        <f>IFERROR(INDEX(ModelAnswers!$F$2:$F$176,MATCH($A33,ModelAnswers!$A$2:$A$176,0)),"")</f>
        <v/>
      </c>
      <c r="G33" s="70" t="inlineStr">
        <is>
          <t>bfs_private_sales</t>
        </is>
      </c>
      <c r="H33" s="71">
        <f>IFERROR(INDEX(ModelAnswers!$G$2:$G$176,MATCH($A33,ModelAnswers!$A$2:$A$176,0)),"")</f>
        <v/>
      </c>
      <c r="I33" s="72">
        <f>IF($H33="","",IF(EXACT(TRIM($G33),TRIM($H33)),1,0))</f>
        <v/>
      </c>
      <c r="J33" s="73" t="n">
        <v>2</v>
      </c>
      <c r="K33" s="58" t="inlineStr">
        <is>
          <t>Retrieval: HIT (expected bfs_private_sales, got ['bfs_private_sales', 'bfs_consumer_rates', 'bfs_commercial_rates', 'bfs_fees_and_commission', 'bfs_loan_limits_terms']). Auto-scored via source-hit + gold-number-match + keyword-overlap heuristic (see tests/test_queries.py:score_answer). Human reviewer should verify.</t>
        </is>
      </c>
      <c r="L33" s="58" t="n"/>
      <c r="M33" s="74" t="n"/>
    </row>
    <row r="34" ht="46.25" customHeight="1" s="44">
      <c r="A34" s="56" t="inlineStr">
        <is>
          <t>BFS-08</t>
        </is>
      </c>
      <c r="B34" s="63" t="inlineStr">
        <is>
          <t>BFS</t>
        </is>
      </c>
      <c r="C34" s="56" t="inlineStr">
        <is>
          <t>FEES</t>
        </is>
      </c>
      <c r="D34" s="56" t="inlineStr">
        <is>
          <t>What happens to BFS broker commission if a contract is paid out within 12 months?</t>
        </is>
      </c>
      <c r="E34" s="56" t="inlineStr">
        <is>
          <t>If a contract is terminated or paid in full within 12 months, 100% of all commissions and incentives are refunded (clawed back) to BFS. Separately, repossession or write-off within 24 months also triggers a 100% commission refund.</t>
        </is>
      </c>
      <c r="F34" s="69">
        <f>IFERROR(INDEX(ModelAnswers!$F$2:$F$176,MATCH($A34,ModelAnswers!$A$2:$A$176,0)),"")</f>
        <v/>
      </c>
      <c r="G34" s="70" t="inlineStr">
        <is>
          <t>bfs_fees_and_commission</t>
        </is>
      </c>
      <c r="H34" s="71">
        <f>IFERROR(INDEX(ModelAnswers!$G$2:$G$176,MATCH($A34,ModelAnswers!$A$2:$A$176,0)),"")</f>
        <v/>
      </c>
      <c r="I34" s="72">
        <f>IF($H34="","",IF(EXACT(TRIM($G34),TRIM($H34)),1,0))</f>
        <v/>
      </c>
      <c r="J34" s="73" t="n">
        <v>3</v>
      </c>
      <c r="K34" s="58" t="inlineStr">
        <is>
          <t>Retrieval: HIT (expected bfs_fees_and_commission, got ['bfs_fees_and_commission', 'bfs_commercial_rates', 'bfs_exclusions', 'bfs_loan_limits_terms', 'bfs_consumer_documentation']). Auto-scored via source-hit + gold-number-match + keyword-overlap heuristic (see tests/test_queries.py:score_answer). Human reviewer should verify.</t>
        </is>
      </c>
      <c r="L34" s="58" t="n"/>
      <c r="M34" s="74" t="n"/>
    </row>
    <row r="35" ht="57.45" customHeight="1" s="44">
      <c r="A35" s="56" t="inlineStr">
        <is>
          <t>BFS-09</t>
        </is>
      </c>
      <c r="B35" s="63" t="inlineStr">
        <is>
          <t>BFS</t>
        </is>
      </c>
      <c r="C35" s="56" t="inlineStr">
        <is>
          <t>ELIGIBILITY</t>
        </is>
      </c>
      <c r="D35" s="56" t="inlineStr">
        <is>
          <t>What are BFS's auto-decline triggers?</t>
        </is>
      </c>
      <c r="E35" s="56" t="inlineStr">
        <is>
          <t>Auto-decline (no resubmission) applies when all individuals and guarantors have CCR below 400 (consumer and commercial new/demo), or below 550 (commercial used), or the applicant is currently bankrupt, or consumer net monthly income is below $2,318.</t>
        </is>
      </c>
      <c r="F35" s="69">
        <f>IFERROR(INDEX(ModelAnswers!$F$2:$F$176,MATCH($A35,ModelAnswers!$A$2:$A$176,0)),"")</f>
        <v/>
      </c>
      <c r="G35" s="70" t="inlineStr">
        <is>
          <t>bfs_customer_tiers</t>
        </is>
      </c>
      <c r="H35" s="71">
        <f>IFERROR(INDEX(ModelAnswers!$G$2:$G$176,MATCH($A35,ModelAnswers!$A$2:$A$176,0)),"")</f>
        <v/>
      </c>
      <c r="I35" s="72">
        <f>IF($H35="","",IF(EXACT(TRIM($G35),TRIM($H35)),1,0))</f>
        <v/>
      </c>
      <c r="J35" s="73" t="n">
        <v>4</v>
      </c>
      <c r="K35" s="58" t="inlineStr">
        <is>
          <t>Retrieval: HIT (expected bfs_customer_tiers, got ['bfs_exclusions', 'bfs_customer_tiers', 'bfs_consumer_rates', 'bfs_fees_and_commission', 'bfs_commercial_rates']). Auto-scored via source-hit + gold-number-match + keyword-overlap heuristic (see tests/test_queries.py:score_answer). Human reviewer should verify.</t>
        </is>
      </c>
      <c r="L35" s="58" t="n"/>
      <c r="M35" s="74" t="n"/>
    </row>
    <row r="36" ht="46.25" customHeight="1" s="44">
      <c r="A36" s="56" t="inlineStr">
        <is>
          <t>BFS-10</t>
        </is>
      </c>
      <c r="B36" s="63" t="inlineStr">
        <is>
          <t>BFS</t>
        </is>
      </c>
      <c r="C36" s="56" t="inlineStr">
        <is>
          <t>LOAN_LIMITS</t>
        </is>
      </c>
      <c r="D36" s="56" t="inlineStr">
        <is>
          <t>What is BFS's high-value loan range and who can access it?</t>
        </is>
      </c>
      <c r="E36" s="56" t="inlineStr">
        <is>
          <t>High-value loans of $250,000-$400,000 are available to Ultra Prime through Tier 2 only, assessed case-by-case, requiring a minimum 20% deposit and asset-backed applicants only. Standard PRIME loans are $5,000-$250,000.</t>
        </is>
      </c>
      <c r="F36" s="69">
        <f>IFERROR(INDEX(ModelAnswers!$F$2:$F$176,MATCH($A36,ModelAnswers!$A$2:$A$176,0)),"")</f>
        <v/>
      </c>
      <c r="G36" s="70" t="inlineStr">
        <is>
          <t>bfs_loan_limits_terms</t>
        </is>
      </c>
      <c r="H36" s="71">
        <f>IFERROR(INDEX(ModelAnswers!$G$2:$G$176,MATCH($A36,ModelAnswers!$A$2:$A$176,0)),"")</f>
        <v/>
      </c>
      <c r="I36" s="72">
        <f>IF($H36="","",IF(EXACT(TRIM($G36),TRIM($H36)),1,0))</f>
        <v/>
      </c>
      <c r="J36" s="73" t="n">
        <v>4</v>
      </c>
      <c r="K36" s="58" t="inlineStr">
        <is>
          <t>Retrieval: HIT (expected bfs_loan_limits_terms, got ['bfs_loan_limits_terms', 'bfs_consumer_rates', 'bfs_commercial_rates', 'bfs_exclusions', 'bfs_customer_tiers']). Auto-scored via source-hit + gold-number-match + keyword-overlap heuristic (see tests/test_queries.py:score_answer). Human reviewer should verify.</t>
        </is>
      </c>
      <c r="L36" s="58" t="n"/>
      <c r="M36" s="74" t="n"/>
    </row>
    <row r="37" ht="35.05" customHeight="1" s="44">
      <c r="A37" s="56" t="inlineStr">
        <is>
          <t>BFS-11</t>
        </is>
      </c>
      <c r="B37" s="63" t="inlineStr">
        <is>
          <t>BFS</t>
        </is>
      </c>
      <c r="C37" s="56" t="inlineStr">
        <is>
          <t>PRICING</t>
        </is>
      </c>
      <c r="D37" s="56" t="inlineStr">
        <is>
          <t>What is BFS's consumer maximum rate for a new/demo vehicle under Ultra Prime?</t>
        </is>
      </c>
      <c r="E37" s="56" t="inlineStr">
        <is>
          <t>The Ultra Prime consumer maximum rate for a new/demo vehicle is 9.15% p.a. Consumer pricing shows maximum rates, and a discount of up to 2% may be applied.</t>
        </is>
      </c>
      <c r="F37" s="69">
        <f>IFERROR(INDEX(ModelAnswers!$F$2:$F$176,MATCH($A37,ModelAnswers!$A$2:$A$176,0)),"")</f>
        <v/>
      </c>
      <c r="G37" s="70" t="inlineStr">
        <is>
          <t>bfs_consumer_rates</t>
        </is>
      </c>
      <c r="H37" s="71">
        <f>IFERROR(INDEX(ModelAnswers!$G$2:$G$176,MATCH($A37,ModelAnswers!$A$2:$A$176,0)),"")</f>
        <v/>
      </c>
      <c r="I37" s="72">
        <f>IF($H37="","",IF(EXACT(TRIM($G37),TRIM($H37)),1,0))</f>
        <v/>
      </c>
      <c r="J37" s="73" t="n">
        <v>3</v>
      </c>
      <c r="K37" s="58" t="inlineStr">
        <is>
          <t>Retrieval: HIT (expected bfs_consumer_rates, got ['bfs_consumer_rates', 'bfs_loan_limits_terms', 'bfs_private_sales', 'bfs_commercial_rates', 'bfs_vehicle_types']). Auto-scored via source-hit + gold-number-match + keyword-overlap heuristic (see tests/test_queries.py:score_answer). Human reviewer should verify.</t>
        </is>
      </c>
      <c r="L37" s="58" t="n"/>
      <c r="M37" s="74" t="n"/>
    </row>
    <row r="38" ht="35.05" customHeight="1" s="44">
      <c r="A38" s="56" t="inlineStr">
        <is>
          <t>BFS-12</t>
        </is>
      </c>
      <c r="B38" s="63" t="inlineStr">
        <is>
          <t>BFS</t>
        </is>
      </c>
      <c r="C38" s="56" t="inlineStr">
        <is>
          <t>PRICING</t>
        </is>
      </c>
      <c r="D38" s="56" t="inlineStr">
        <is>
          <t>What non-asset-backed loading applies to BFS commercial deals, and does it apply to Ultra Prime?</t>
        </is>
      </c>
      <c r="E38" s="56" t="inlineStr">
        <is>
          <t>The commercial non-asset-backed loading is +1.85% and applies to Tier 1 through Tier 4 only — it does not apply to Ultra Prime.</t>
        </is>
      </c>
      <c r="F38" s="69">
        <f>IFERROR(INDEX(ModelAnswers!$F$2:$F$176,MATCH($A38,ModelAnswers!$A$2:$A$176,0)),"")</f>
        <v/>
      </c>
      <c r="G38" s="70" t="inlineStr">
        <is>
          <t>bfs_commercial_rates</t>
        </is>
      </c>
      <c r="H38" s="71">
        <f>IFERROR(INDEX(ModelAnswers!$G$2:$G$176,MATCH($A38,ModelAnswers!$A$2:$A$176,0)),"")</f>
        <v/>
      </c>
      <c r="I38" s="72">
        <f>IF($H38="","",IF(EXACT(TRIM($G38),TRIM($H38)),1,0))</f>
        <v/>
      </c>
      <c r="J38" s="73" t="n">
        <v>3</v>
      </c>
      <c r="K38" s="58" t="inlineStr">
        <is>
          <t>Retrieval: HIT (expected bfs_commercial_rates, got ['bfs_commercial_rates', 'bfs_consumer_rates', 'bfs_exclusions', 'bfs_private_sales', 'bfs_loan_limits_terms']). Auto-scored via source-hit + gold-number-match + keyword-overlap heuristic (see tests/test_queries.py:score_answer). Human reviewer should verify.</t>
        </is>
      </c>
      <c r="L38" s="58" t="n"/>
      <c r="M38" s="74" t="n"/>
    </row>
    <row r="39" ht="35.05" customHeight="1" s="44">
      <c r="A39" s="56" t="inlineStr">
        <is>
          <t>BFS-13</t>
        </is>
      </c>
      <c r="B39" s="63" t="inlineStr">
        <is>
          <t>BFS</t>
        </is>
      </c>
      <c r="C39" s="56" t="inlineStr">
        <is>
          <t>FEES</t>
        </is>
      </c>
      <c r="D39" s="56" t="inlineStr">
        <is>
          <t>What is BFS's establishment fee for a commercial loan?</t>
        </is>
      </c>
      <c r="E39" s="56" t="inlineStr">
        <is>
          <t>The standard commercial establishment fee is $575. For a commercial private sale it is $675. (Consumer is $525 standard / $625 private sale.)</t>
        </is>
      </c>
      <c r="F39" s="69">
        <f>IFERROR(INDEX(ModelAnswers!$F$2:$F$176,MATCH($A39,ModelAnswers!$A$2:$A$176,0)),"")</f>
        <v/>
      </c>
      <c r="G39" s="70" t="inlineStr">
        <is>
          <t>bfs_fees_and_commission</t>
        </is>
      </c>
      <c r="H39" s="71">
        <f>IFERROR(INDEX(ModelAnswers!$G$2:$G$176,MATCH($A39,ModelAnswers!$A$2:$A$176,0)),"")</f>
        <v/>
      </c>
      <c r="I39" s="72">
        <f>IF($H39="","",IF(EXACT(TRIM($G39),TRIM($H39)),1,0))</f>
        <v/>
      </c>
      <c r="J39" s="73" t="n">
        <v>3</v>
      </c>
      <c r="K39" s="58" t="inlineStr">
        <is>
          <t>Retrieval: HIT (expected bfs_fees_and_commission, got ['bfs_fees_and_commission', 'bfs_commercial_documentation', 'bfs_commercial_rates', 'bfs_loan_limits_terms', 'bfs_private_sales']). Auto-scored via source-hit + gold-number-match + keyword-overlap heuristic (see tests/test_queries.py:score_answer). Human reviewer should verify.</t>
        </is>
      </c>
      <c r="L39" s="58" t="n"/>
      <c r="M39" s="74" t="n"/>
    </row>
    <row r="40" ht="57.45" customHeight="1" s="44">
      <c r="A40" s="56" t="inlineStr">
        <is>
          <t>BFS-14</t>
        </is>
      </c>
      <c r="B40" s="63" t="inlineStr">
        <is>
          <t>BFS</t>
        </is>
      </c>
      <c r="C40" s="56" t="inlineStr">
        <is>
          <t>ASSET_ELIGIBILITY</t>
        </is>
      </c>
      <c r="D40" s="56" t="inlineStr">
        <is>
          <t>What conditions apply to financing an electric motorcycle at BFS?</t>
        </is>
      </c>
      <c r="E40" s="56" t="inlineStr">
        <is>
          <t>Electric motorcycles are accepted if their maximum speed exceeds 80 km/h. Motorcycles generally have a max term of 60 months, no balloon payments, must be registered (on-road 2/3/4 wheels), and require an upfront invoice to be loaded in QuickSell.</t>
        </is>
      </c>
      <c r="F40" s="69">
        <f>IFERROR(INDEX(ModelAnswers!$F$2:$F$176,MATCH($A40,ModelAnswers!$A$2:$A$176,0)),"")</f>
        <v/>
      </c>
      <c r="G40" s="70" t="inlineStr">
        <is>
          <t>bfs_vehicle_types</t>
        </is>
      </c>
      <c r="H40" s="71">
        <f>IFERROR(INDEX(ModelAnswers!$G$2:$G$176,MATCH($A40,ModelAnswers!$A$2:$A$176,0)),"")</f>
        <v/>
      </c>
      <c r="I40" s="72">
        <f>IF($H40="","",IF(EXACT(TRIM($G40),TRIM($H40)),1,0))</f>
        <v/>
      </c>
      <c r="J40" s="73" t="n">
        <v>4</v>
      </c>
      <c r="K40" s="58" t="inlineStr">
        <is>
          <t>Retrieval: HIT (expected bfs_vehicle_types, got ['bfs_vehicle_types', 'bfs_loan_limits_terms', 'bfs_private_sales', 'bfs_exclusions', 'bfs_customer_tiers']). Auto-scored via source-hit + gold-number-match + keyword-overlap heuristic (see tests/test_queries.py:score_answer). Human reviewer should verify.</t>
        </is>
      </c>
      <c r="L40" s="58" t="n"/>
      <c r="M40" s="74" t="n"/>
    </row>
    <row r="41" ht="46.25" customHeight="1" s="44">
      <c r="A41" s="56" t="inlineStr">
        <is>
          <t>BFS-15</t>
        </is>
      </c>
      <c r="B41" s="63" t="inlineStr">
        <is>
          <t>BFS</t>
        </is>
      </c>
      <c r="C41" s="56" t="inlineStr">
        <is>
          <t>DOCUMENTATION</t>
        </is>
      </c>
      <c r="D41" s="56" t="inlineStr">
        <is>
          <t>What is the maximum loan under BFS's New Business Ventures documentation type?</t>
        </is>
      </c>
      <c r="E41" s="56" t="inlineStr">
        <is>
          <t>New Business Ventures is capped at $100k total exposure, is available to Ultra Prime through Tier 4 only, and is for businesses with less than 12 months ABN. It requires 90-day bank statements (plus a run contract for couriers).</t>
        </is>
      </c>
      <c r="F41" s="69">
        <f>IFERROR(INDEX(ModelAnswers!$F$2:$F$176,MATCH($A41,ModelAnswers!$A$2:$A$176,0)),"")</f>
        <v/>
      </c>
      <c r="G41" s="70" t="inlineStr">
        <is>
          <t>bfs_commercial_documentation</t>
        </is>
      </c>
      <c r="H41" s="71">
        <f>IFERROR(INDEX(ModelAnswers!$G$2:$G$176,MATCH($A41,ModelAnswers!$A$2:$A$176,0)),"")</f>
        <v/>
      </c>
      <c r="I41" s="72">
        <f>IF($H41="","",IF(EXACT(TRIM($G41),TRIM($H41)),1,0))</f>
        <v/>
      </c>
      <c r="J41" s="73" t="n">
        <v>2</v>
      </c>
      <c r="K41" s="58" t="inlineStr">
        <is>
          <t>Retrieval: HIT (expected bfs_commercial_documentation, got ['bfs_loan_limits_terms', 'bfs_commercial_documentation', 'bfs_consumer_rates', 'bfs_commercial_rates', 'bfs_vehicle_types']). Auto-scored via source-hit + gold-number-match + keyword-overlap heuristic (see tests/test_queries.py:score_answer). Human reviewer should verify.</t>
        </is>
      </c>
      <c r="L41" s="58" t="n"/>
      <c r="M41" s="74" t="n"/>
    </row>
    <row r="42" ht="23.85" customHeight="1" s="44">
      <c r="A42" s="56" t="inlineStr">
        <is>
          <t>BFS-16</t>
        </is>
      </c>
      <c r="B42" s="63" t="inlineStr">
        <is>
          <t>BFS</t>
        </is>
      </c>
      <c r="C42" s="56" t="inlineStr">
        <is>
          <t>ELIGIBILITY</t>
        </is>
      </c>
      <c r="D42" s="56" t="inlineStr">
        <is>
          <t>What credit bureau does BFS use to assess applicants?</t>
        </is>
      </c>
      <c r="E42" s="56" t="inlineStr">
        <is>
          <t>BFS uses the Experian CCR score of the primary borrower or guarantor to determine tier.</t>
        </is>
      </c>
      <c r="F42" s="69">
        <f>IFERROR(INDEX(ModelAnswers!$F$2:$F$176,MATCH($A42,ModelAnswers!$A$2:$A$176,0)),"")</f>
        <v/>
      </c>
      <c r="G42" s="70" t="inlineStr">
        <is>
          <t>bfs_customer_tiers</t>
        </is>
      </c>
      <c r="H42" s="71">
        <f>IFERROR(INDEX(ModelAnswers!$G$2:$G$176,MATCH($A42,ModelAnswers!$A$2:$A$176,0)),"")</f>
        <v/>
      </c>
      <c r="I42" s="72">
        <f>IF($H42="","",IF(EXACT(TRIM($G42),TRIM($H42)),1,0))</f>
        <v/>
      </c>
      <c r="J42" s="73" t="n">
        <v>4</v>
      </c>
      <c r="K42" s="58" t="inlineStr">
        <is>
          <t>Retrieval: HIT (expected bfs_customer_tiers, got ['bfs_customer_tiers', 'bfs_consumer_documentation', 'bfs_exclusions', 'bfs_consumer_rates', 'bfs_commercial_documentation']). Auto-scored via source-hit + gold-number-match + keyword-overlap heuristic (see tests/test_queries.py:score_answer). Human reviewer should verify.</t>
        </is>
      </c>
      <c r="L42" s="58" t="n"/>
      <c r="M42" s="74" t="n"/>
    </row>
    <row r="43" ht="35.05" customHeight="1" s="44">
      <c r="A43" s="56" t="inlineStr">
        <is>
          <t>BFS-17</t>
        </is>
      </c>
      <c r="B43" s="63" t="inlineStr">
        <is>
          <t>BFS</t>
        </is>
      </c>
      <c r="C43" s="56" t="inlineStr">
        <is>
          <t>LOAN_LIMITS</t>
        </is>
      </c>
      <c r="D43" s="56" t="inlineStr">
        <is>
          <t>What is the maximum loan under BFS Plus?</t>
        </is>
      </c>
      <c r="E43" s="56" t="inlineStr">
        <is>
          <t>BFS Plus loans range from $5,000 to $100,000, with terms of 12-60 months, for passenger and light commercial vehicles only.</t>
        </is>
      </c>
      <c r="F43" s="69">
        <f>IFERROR(INDEX(ModelAnswers!$F$2:$F$176,MATCH($A43,ModelAnswers!$A$2:$A$176,0)),"")</f>
        <v/>
      </c>
      <c r="G43" s="70" t="inlineStr">
        <is>
          <t>bfs_loan_limits_terms</t>
        </is>
      </c>
      <c r="H43" s="71">
        <f>IFERROR(INDEX(ModelAnswers!$G$2:$G$176,MATCH($A43,ModelAnswers!$A$2:$A$176,0)),"")</f>
        <v/>
      </c>
      <c r="I43" s="72">
        <f>IF($H43="","",IF(EXACT(TRIM($G43),TRIM($H43)),1,0))</f>
        <v/>
      </c>
      <c r="J43" s="73" t="n">
        <v>2</v>
      </c>
      <c r="K43" s="58" t="inlineStr">
        <is>
          <t>Retrieval: HIT (expected bfs_loan_limits_terms, got ['bfs_loan_limits_terms', 'bfs_consumer_rates', 'bfs_exclusions', 'bfs_commercial_rates', 'bfs_customer_tiers']). Auto-scored via source-hit + gold-number-match + keyword-overlap heuristic (see tests/test_queries.py:score_answer). Human reviewer should verify.</t>
        </is>
      </c>
      <c r="L43" s="58" t="n"/>
      <c r="M43" s="74" t="n"/>
    </row>
    <row r="44" ht="23.85" customHeight="1" s="44">
      <c r="A44" s="56" t="inlineStr">
        <is>
          <t>BFS-18</t>
        </is>
      </c>
      <c r="B44" s="63" t="inlineStr">
        <is>
          <t>BFS</t>
        </is>
      </c>
      <c r="C44" s="56" t="inlineStr">
        <is>
          <t>DOCUMENTATION</t>
        </is>
      </c>
      <c r="D44" s="56" t="inlineStr">
        <is>
          <t>How does BFS assess a board expense for a consumer applicant?</t>
        </is>
      </c>
      <c r="E44" s="56" t="inlineStr">
        <is>
          <t>For board, BFS applies the higher of the declared amount or $400 per month.</t>
        </is>
      </c>
      <c r="F44" s="69">
        <f>IFERROR(INDEX(ModelAnswers!$F$2:$F$176,MATCH($A44,ModelAnswers!$A$2:$A$176,0)),"")</f>
        <v/>
      </c>
      <c r="G44" s="70" t="inlineStr">
        <is>
          <t>bfs_consumer_documentation</t>
        </is>
      </c>
      <c r="H44" s="71">
        <f>IFERROR(INDEX(ModelAnswers!$G$2:$G$176,MATCH($A44,ModelAnswers!$A$2:$A$176,0)),"")</f>
        <v/>
      </c>
      <c r="I44" s="72">
        <f>IF($H44="","",IF(EXACT(TRIM($G44),TRIM($H44)),1,0))</f>
        <v/>
      </c>
      <c r="J44" s="73" t="n">
        <v>4</v>
      </c>
      <c r="K44" s="58" t="inlineStr">
        <is>
          <t>Retrieval: HIT (expected bfs_consumer_documentation, got ['bfs_consumer_documentation', 'bfs_fees_and_commission', 'bfs_consumer_rates', 'bfs_commercial_documentation', 'bfs_private_sales']). Auto-scored via source-hit + gold-number-match + keyword-overlap heuristic (see tests/test_queries.py:score_answer). Human reviewer should verify.</t>
        </is>
      </c>
      <c r="L44" s="58" t="n"/>
      <c r="M44" s="74" t="n"/>
    </row>
    <row r="45" ht="15" customHeight="1" s="44">
      <c r="A45" s="56" t="inlineStr">
        <is>
          <t>BFS-19</t>
        </is>
      </c>
      <c r="B45" s="63" t="inlineStr">
        <is>
          <t>BFS</t>
        </is>
      </c>
      <c r="C45" s="56" t="inlineStr">
        <is>
          <t>PRICING</t>
        </is>
      </c>
      <c r="D45" s="56" t="inlineStr">
        <is>
          <t>What is BFS's maximum rate cap across all tiers?</t>
        </is>
      </c>
      <c r="E45" s="56" t="inlineStr">
        <is>
          <t>The maximum rate cap across all tiers is 17.15%.</t>
        </is>
      </c>
      <c r="F45" s="69">
        <f>IFERROR(INDEX(ModelAnswers!$F$2:$F$176,MATCH($A45,ModelAnswers!$A$2:$A$176,0)),"")</f>
        <v/>
      </c>
      <c r="G45" s="70" t="inlineStr">
        <is>
          <t>bfs_commercial_rates</t>
        </is>
      </c>
      <c r="H45" s="71">
        <f>IFERROR(INDEX(ModelAnswers!$G$2:$G$176,MATCH($A45,ModelAnswers!$A$2:$A$176,0)),"")</f>
        <v/>
      </c>
      <c r="I45" s="72">
        <f>IF($H45="","",IF(EXACT(TRIM($G45),TRIM($H45)),1,0))</f>
        <v/>
      </c>
      <c r="J45" s="73" t="n">
        <v>4</v>
      </c>
      <c r="K45" s="58" t="inlineStr">
        <is>
          <t>Retrieval: HIT (expected bfs_commercial_rates, got ['bfs_commercial_rates', 'bfs_consumer_rates', 'bfs_customer_tiers', 'bfs_loan_limits_terms', 'bfs_fees_and_commission']). Auto-scored via source-hit + gold-number-match + keyword-overlap heuristic (see tests/test_queries.py:score_answer). Human reviewer should verify.</t>
        </is>
      </c>
      <c r="L45" s="58" t="n"/>
      <c r="M45" s="74" t="n"/>
    </row>
    <row r="46" ht="23.85" customHeight="1" s="44">
      <c r="A46" s="56" t="inlineStr">
        <is>
          <t>BFS-20</t>
        </is>
      </c>
      <c r="B46" s="63" t="inlineStr">
        <is>
          <t>BFS</t>
        </is>
      </c>
      <c r="C46" s="56" t="inlineStr">
        <is>
          <t>ASSET_ELIGIBILITY</t>
        </is>
      </c>
      <c r="D46" s="56" t="inlineStr">
        <is>
          <t>What is the maximum loan size for a BFS private sale?</t>
        </is>
      </c>
      <c r="E46" s="56" t="inlineStr">
        <is>
          <t>Private sales are capped at $150k for PRIME tiers.</t>
        </is>
      </c>
      <c r="F46" s="69">
        <f>IFERROR(INDEX(ModelAnswers!$F$2:$F$176,MATCH($A46,ModelAnswers!$A$2:$A$176,0)),"")</f>
        <v/>
      </c>
      <c r="G46" s="70" t="inlineStr">
        <is>
          <t>bfs_private_sales</t>
        </is>
      </c>
      <c r="H46" s="71">
        <f>IFERROR(INDEX(ModelAnswers!$G$2:$G$176,MATCH($A46,ModelAnswers!$A$2:$A$176,0)),"")</f>
        <v/>
      </c>
      <c r="I46" s="72">
        <f>IF($H46="","",IF(EXACT(TRIM($G46),TRIM($H46)),1,0))</f>
        <v/>
      </c>
      <c r="J46" s="73" t="n">
        <v>3</v>
      </c>
      <c r="K46" s="58" t="inlineStr">
        <is>
          <t>Retrieval: HIT (expected bfs_private_sales, got ['bfs_private_sales', 'bfs_loan_limits_terms', 'bfs_consumer_rates', 'bfs_commercial_rates', 'bfs_fees_and_commission']). Auto-scored via source-hit + gold-number-match + keyword-overlap heuristic (see tests/test_queries.py:score_answer). Human reviewer should verify.</t>
        </is>
      </c>
      <c r="L46" s="58" t="n"/>
      <c r="M46" s="74" t="n"/>
    </row>
    <row r="47" ht="35.05" customHeight="1" s="44">
      <c r="A47" s="56" t="inlineStr">
        <is>
          <t>BFS-21</t>
        </is>
      </c>
      <c r="B47" s="63" t="inlineStr">
        <is>
          <t>BFS</t>
        </is>
      </c>
      <c r="C47" s="56" t="inlineStr">
        <is>
          <t>ELIGIBILITY</t>
        </is>
      </c>
      <c r="D47" s="56" t="inlineStr">
        <is>
          <t>Does BFS lend to individual consumers for personal-use vehicles?</t>
        </is>
      </c>
      <c r="E47" s="56" t="inlineStr">
        <is>
          <t>Yes. BFS is the only lender in this group to serve both commercial and individual consumer (personal use) borrowers.</t>
        </is>
      </c>
      <c r="F47" s="69">
        <f>IFERROR(INDEX(ModelAnswers!$F$2:$F$176,MATCH($A47,ModelAnswers!$A$2:$A$176,0)),"")</f>
        <v/>
      </c>
      <c r="G47" s="70" t="inlineStr">
        <is>
          <t>bfs_customer_tiers</t>
        </is>
      </c>
      <c r="H47" s="71">
        <f>IFERROR(INDEX(ModelAnswers!$G$2:$G$176,MATCH($A47,ModelAnswers!$A$2:$A$176,0)),"")</f>
        <v/>
      </c>
      <c r="I47" s="72">
        <f>IF($H47="","",IF(EXACT(TRIM($G47),TRIM($H47)),1,0))</f>
        <v/>
      </c>
      <c r="J47" s="73" t="n">
        <v>2</v>
      </c>
      <c r="K47" s="58" t="inlineStr">
        <is>
          <t>Retrieval: MISS (expected bfs_customer_tiers, got ['bfs_consumer_rates', 'bfs_vehicle_types', 'bfs_loan_limits_terms', 'bfs_consumer_documentation', 'bfs_exclusions']). Auto-scored via source-hit + gold-number-match + keyword-overlap heuristic (see tests/test_queries.py:score_answer). Human reviewer should verify.</t>
        </is>
      </c>
      <c r="L47" s="58" t="n"/>
      <c r="M47" s="74" t="n"/>
    </row>
    <row r="48" ht="35.05" customHeight="1" s="44">
      <c r="A48" s="56" t="inlineStr">
        <is>
          <t>BFS-22</t>
        </is>
      </c>
      <c r="B48" s="63" t="inlineStr">
        <is>
          <t>BFS</t>
        </is>
      </c>
      <c r="C48" s="56" t="inlineStr">
        <is>
          <t>ASSET_ELIGIBILITY</t>
        </is>
      </c>
      <c r="D48" s="56" t="inlineStr">
        <is>
          <t>Can BFS finance a forklift or excavator?</t>
        </is>
      </c>
      <c r="E48" s="56" t="inlineStr">
        <is>
          <t>No. BFS finances motor vehicles under 4.5T GVM only; forklifts and excavators are heavy equipment and are not eligible.</t>
        </is>
      </c>
      <c r="F48" s="69">
        <f>IFERROR(INDEX(ModelAnswers!$F$2:$F$176,MATCH($A48,ModelAnswers!$A$2:$A$176,0)),"")</f>
        <v/>
      </c>
      <c r="G48" s="70" t="inlineStr">
        <is>
          <t>bfs_vehicle_types</t>
        </is>
      </c>
      <c r="H48" s="71">
        <f>IFERROR(INDEX(ModelAnswers!$G$2:$G$176,MATCH($A48,ModelAnswers!$A$2:$A$176,0)),"")</f>
        <v/>
      </c>
      <c r="I48" s="72">
        <f>IF($H48="","",IF(EXACT(TRIM($G48),TRIM($H48)),1,0))</f>
        <v/>
      </c>
      <c r="J48" s="73" t="n">
        <v>2</v>
      </c>
      <c r="K48" s="58" t="inlineStr">
        <is>
          <t>Retrieval: HIT (expected bfs_vehicle_types, got ['bfs_vehicle_types', 'bfs_loan_limits_terms', 'bfs_commercial_rates', 'bfs_customer_tiers', 'bfs_commercial_documentation', 'bfs_private_sales']). Auto-scored via source-hit + gold-number-match + keyword-overlap heuristic (see tests/test_queries.py:score_answer). Human reviewer should verify.</t>
        </is>
      </c>
      <c r="L48" s="58" t="n"/>
      <c r="M48" s="74" t="n"/>
    </row>
    <row r="49" ht="23.85" customHeight="1" s="44">
      <c r="A49" s="56" t="inlineStr">
        <is>
          <t>BFS-23</t>
        </is>
      </c>
      <c r="B49" s="63" t="inlineStr">
        <is>
          <t>BFS</t>
        </is>
      </c>
      <c r="C49" s="56" t="inlineStr">
        <is>
          <t>LOAN_LIMITS</t>
        </is>
      </c>
      <c r="D49" s="56" t="inlineStr">
        <is>
          <t>What is BFS's maximum LVR for a no-deposit application?</t>
        </is>
      </c>
      <c r="E49" s="56" t="inlineStr">
        <is>
          <t>The maximum LVR is 120% for no-deposit applications. Glass's Retail Value is applied to used vehicles.</t>
        </is>
      </c>
      <c r="F49" s="69">
        <f>IFERROR(INDEX(ModelAnswers!$F$2:$F$176,MATCH($A49,ModelAnswers!$A$2:$A$176,0)),"")</f>
        <v/>
      </c>
      <c r="G49" s="70" t="inlineStr">
        <is>
          <t>bfs_loan_limits_terms</t>
        </is>
      </c>
      <c r="H49" s="71">
        <f>IFERROR(INDEX(ModelAnswers!$G$2:$G$176,MATCH($A49,ModelAnswers!$A$2:$A$176,0)),"")</f>
        <v/>
      </c>
      <c r="I49" s="72">
        <f>IF($H49="","",IF(EXACT(TRIM($G49),TRIM($H49)),1,0))</f>
        <v/>
      </c>
      <c r="J49" s="73" t="n">
        <v>4</v>
      </c>
      <c r="K49" s="58" t="inlineStr">
        <is>
          <t>Retrieval: HIT (expected bfs_loan_limits_terms, got ['bfs_loan_limits_terms', 'bfs_customer_tiers', 'bfs_consumer_rates', 'bfs_commercial_documentation', 'bfs_commercial_rates']). Auto-scored via source-hit + gold-number-match + keyword-overlap heuristic (see tests/test_queries.py:score_answer). Human reviewer should verify.</t>
        </is>
      </c>
      <c r="L49" s="58" t="n"/>
      <c r="M49" s="74" t="n"/>
    </row>
    <row r="50" ht="23.85" customHeight="1" s="44">
      <c r="A50" s="56" t="inlineStr">
        <is>
          <t>BFS-24</t>
        </is>
      </c>
      <c r="B50" s="63" t="inlineStr">
        <is>
          <t>BFS</t>
        </is>
      </c>
      <c r="C50" s="56" t="inlineStr">
        <is>
          <t>EXCLUSIONS</t>
        </is>
      </c>
      <c r="D50" s="56" t="inlineStr">
        <is>
          <t>Does BFS accept a driver's licence with an interlock condition?</t>
        </is>
      </c>
      <c r="E50" s="56" t="inlineStr">
        <is>
          <t>No. Licences with interlock conditions are not accepted by BFS.</t>
        </is>
      </c>
      <c r="F50" s="69">
        <f>IFERROR(INDEX(ModelAnswers!$F$2:$F$176,MATCH($A50,ModelAnswers!$A$2:$A$176,0)),"")</f>
        <v/>
      </c>
      <c r="G50" s="70" t="inlineStr">
        <is>
          <t>bfs_exclusions</t>
        </is>
      </c>
      <c r="H50" s="71">
        <f>IFERROR(INDEX(ModelAnswers!$G$2:$G$176,MATCH($A50,ModelAnswers!$A$2:$A$176,0)),"")</f>
        <v/>
      </c>
      <c r="I50" s="72">
        <f>IF($H50="","",IF(EXACT(TRIM($G50),TRIM($H50)),1,0))</f>
        <v/>
      </c>
      <c r="J50" s="73" t="n">
        <v>4</v>
      </c>
      <c r="K50" s="58" t="inlineStr">
        <is>
          <t>Retrieval: HIT (expected bfs_exclusions, got ['bfs_exclusions', 'bfs_vehicle_types', 'bfs_consumer_documentation', 'bfs_loan_limits_terms', 'bfs_customer_tiers']). Auto-scored via source-hit + gold-number-match + keyword-overlap heuristic (see tests/test_queries.py:score_answer). Human reviewer should verify.</t>
        </is>
      </c>
      <c r="L50" s="58" t="n"/>
      <c r="M50" s="74" t="n"/>
    </row>
    <row r="51" ht="23.85" customHeight="1" s="44">
      <c r="A51" s="56" t="inlineStr">
        <is>
          <t>BFS-25</t>
        </is>
      </c>
      <c r="B51" s="63" t="inlineStr">
        <is>
          <t>BFS</t>
        </is>
      </c>
      <c r="C51" s="56" t="inlineStr">
        <is>
          <t>PRICING</t>
        </is>
      </c>
      <c r="D51" s="56" t="inlineStr">
        <is>
          <t>What is BFS's commercial base rate for a Tier 4 used vehicle?</t>
        </is>
      </c>
      <c r="E51" s="56" t="inlineStr">
        <is>
          <t>Tier 4 does not accept commercial used-vehicle contracts, so there is no Tier 4 commercial used rate (shown as N/A).</t>
        </is>
      </c>
      <c r="F51" s="69">
        <f>IFERROR(INDEX(ModelAnswers!$F$2:$F$176,MATCH($A51,ModelAnswers!$A$2:$A$176,0)),"")</f>
        <v/>
      </c>
      <c r="G51" s="70" t="inlineStr">
        <is>
          <t>bfs_commercial_rates</t>
        </is>
      </c>
      <c r="H51" s="71">
        <f>IFERROR(INDEX(ModelAnswers!$G$2:$G$176,MATCH($A51,ModelAnswers!$A$2:$A$176,0)),"")</f>
        <v/>
      </c>
      <c r="I51" s="72">
        <f>IF($H51="","",IF(EXACT(TRIM($G51),TRIM($H51)),1,0))</f>
        <v/>
      </c>
      <c r="J51" s="73" t="n">
        <v>2</v>
      </c>
      <c r="K51" s="58" t="inlineStr">
        <is>
          <t>Retrieval: HIT (expected bfs_commercial_rates, got ['bfs_commercial_rates', 'bfs_consumer_rates', 'bfs_loan_limits_terms', 'bfs_vehicle_types', 'bfs_customer_tiers']). Auto-scored via source-hit + gold-number-match + keyword-overlap heuristic (see tests/test_queries.py:score_answer). Human reviewer should verify.</t>
        </is>
      </c>
      <c r="L51" s="58" t="n"/>
      <c r="M51" s="74" t="n"/>
    </row>
    <row r="52" ht="46.25" customHeight="1" s="44">
      <c r="A52" s="56" t="inlineStr">
        <is>
          <t>WBC-01</t>
        </is>
      </c>
      <c r="B52" s="64" t="inlineStr">
        <is>
          <t>Westpac</t>
        </is>
      </c>
      <c r="C52" s="56" t="inlineStr">
        <is>
          <t>ELIGIBILITY</t>
        </is>
      </c>
      <c r="D52" s="56" t="inlineStr">
        <is>
          <t>What is the maximum DriveXpress loan for a new-to-bank Westpac customer?</t>
        </is>
      </c>
      <c r="E52" s="56" t="inlineStr">
        <is>
          <t>A new-to-business-bank customer can borrow up to $150k under DriveXpress (across Categories A, B &amp; C), provided they own residential property and have minimum income of $75k p.a. Their maximum DriveXpress exposure is $250k.</t>
        </is>
      </c>
      <c r="F52" s="69">
        <f>IFERROR(INDEX(ModelAnswers!$F$2:$F$176,MATCH($A52,ModelAnswers!$A$2:$A$176,0)),"")</f>
        <v/>
      </c>
      <c r="G52" s="70" t="inlineStr">
        <is>
          <t>westpac_drivexpress</t>
        </is>
      </c>
      <c r="H52" s="71">
        <f>IFERROR(INDEX(ModelAnswers!$G$2:$G$176,MATCH($A52,ModelAnswers!$A$2:$A$176,0)),"")</f>
        <v/>
      </c>
      <c r="I52" s="72">
        <f>IF($H52="","",IF(EXACT(TRIM($G52),TRIM($H52)),1,0))</f>
        <v/>
      </c>
      <c r="J52" s="73" t="n">
        <v>2</v>
      </c>
      <c r="K52" s="58" t="inlineStr">
        <is>
          <t>Retrieval: HIT (expected westpac_drivexpress, got ['westpac_drivexpress', 'westpac_rollover', 'westpac_replacement', 'westpac_channels_overview', 'westpac_xpress_rates']). Auto-scored via source-hit + gold-number-match + keyword-overlap heuristic (see tests/test_queries.py:score_answer). Human reviewer should verify.</t>
        </is>
      </c>
      <c r="L52" s="58" t="n"/>
      <c r="M52" s="74" t="n"/>
    </row>
    <row r="53" ht="35.05" customHeight="1" s="44">
      <c r="A53" s="56" t="inlineStr">
        <is>
          <t>WBC-02</t>
        </is>
      </c>
      <c r="B53" s="64" t="inlineStr">
        <is>
          <t>Westpac</t>
        </is>
      </c>
      <c r="C53" s="56" t="inlineStr">
        <is>
          <t>LOAN_LIMITS</t>
        </is>
      </c>
      <c r="D53" s="56" t="inlineStr">
        <is>
          <t>What are the DriveXpress limits for an existing Westpac client by asset category?</t>
        </is>
      </c>
      <c r="E53" s="56" t="inlineStr">
        <is>
          <t>For an existing client, DriveXpress limits are $200k for Category A, $300k for Category B, and $500k for Category C, with a maximum DriveXpress exposure of $750k.</t>
        </is>
      </c>
      <c r="F53" s="69">
        <f>IFERROR(INDEX(ModelAnswers!$F$2:$F$176,MATCH($A53,ModelAnswers!$A$2:$A$176,0)),"")</f>
        <v/>
      </c>
      <c r="G53" s="70" t="inlineStr">
        <is>
          <t>westpac_drivexpress</t>
        </is>
      </c>
      <c r="H53" s="71">
        <f>IFERROR(INDEX(ModelAnswers!$G$2:$G$176,MATCH($A53,ModelAnswers!$A$2:$A$176,0)),"")</f>
        <v/>
      </c>
      <c r="I53" s="72">
        <f>IF($H53="","",IF(EXACT(TRIM($G53),TRIM($H53)),1,0))</f>
        <v/>
      </c>
      <c r="J53" s="73" t="n">
        <v>4</v>
      </c>
      <c r="K53" s="58" t="inlineStr">
        <is>
          <t>Retrieval: HIT (expected westpac_drivexpress, got ['westpac_drivexpress', 'westpac_exclusions', 'westpac_replacement', 'westpac_rollover', 'westpac_channels_overview']). Auto-scored via source-hit + gold-number-match + keyword-overlap heuristic (see tests/test_queries.py:score_answer). Human reviewer should verify.</t>
        </is>
      </c>
      <c r="L53" s="58" t="n"/>
      <c r="M53" s="74" t="n"/>
    </row>
    <row r="54" ht="35.05" customHeight="1" s="44">
      <c r="A54" s="56" t="inlineStr">
        <is>
          <t>WBC-03</t>
        </is>
      </c>
      <c r="B54" s="64" t="inlineStr">
        <is>
          <t>Westpac</t>
        </is>
      </c>
      <c r="C54" s="56" t="inlineStr">
        <is>
          <t>PRICING</t>
        </is>
      </c>
      <c r="D54" s="56" t="inlineStr">
        <is>
          <t>What is Westpac's Xpress rate for a dealer-sourced car on a 36-month term, and how are EVs treated?</t>
        </is>
      </c>
      <c r="E54" s="56" t="inlineStr">
        <is>
          <t>A licensed-dealer car (up to 5 years old) on a 24/36/48-month term is 7.75% p.a. (60 months is 7.85%). For electric vehicles, the applicable rate is reduced by 1%.</t>
        </is>
      </c>
      <c r="F54" s="69">
        <f>IFERROR(INDEX(ModelAnswers!$F$2:$F$176,MATCH($A54,ModelAnswers!$A$2:$A$176,0)),"")</f>
        <v/>
      </c>
      <c r="G54" s="70" t="inlineStr">
        <is>
          <t>westpac_xpress_rates</t>
        </is>
      </c>
      <c r="H54" s="71">
        <f>IFERROR(INDEX(ModelAnswers!$G$2:$G$176,MATCH($A54,ModelAnswers!$A$2:$A$176,0)),"")</f>
        <v/>
      </c>
      <c r="I54" s="72">
        <f>IF($H54="","",IF(EXACT(TRIM($G54),TRIM($H54)),1,0))</f>
        <v/>
      </c>
      <c r="J54" s="73" t="n">
        <v>3</v>
      </c>
      <c r="K54" s="58" t="inlineStr">
        <is>
          <t>Retrieval: HIT (expected westpac_xpress_rates, got ['westpac_xpress_rates', 'westpac_standard_rates', 'westpac_settlement', 'westpac_exclusions', 'westpac_drivexpress']). Auto-scored via source-hit + gold-number-match + keyword-overlap heuristic (see tests/test_queries.py:score_answer). Human reviewer should verify.</t>
        </is>
      </c>
      <c r="L54" s="58" t="n"/>
      <c r="M54" s="74" t="n"/>
    </row>
    <row r="55" ht="46.25" customHeight="1" s="44">
      <c r="A55" s="56" t="inlineStr">
        <is>
          <t>WBC-04</t>
        </is>
      </c>
      <c r="B55" s="64" t="inlineStr">
        <is>
          <t>Westpac</t>
        </is>
      </c>
      <c r="C55" s="56" t="inlineStr">
        <is>
          <t>SPECIAL_PROGRAMS</t>
        </is>
      </c>
      <c r="D55" s="56" t="inlineStr">
        <is>
          <t>Under Westpac's Medical channel, what is the motor vehicle limit for a medical specialist versus an allied health practitioner?</t>
        </is>
      </c>
      <c r="E55" s="56" t="inlineStr">
        <is>
          <t>For a medical specialist/GP/dental/vet, the motor vehicle limit (vehicle up to 5 years old) is under $250,000. For an allied health practitioner it is under $150,000. Cumulative approval caps are under $500k and under $250k respectively.</t>
        </is>
      </c>
      <c r="F55" s="69">
        <f>IFERROR(INDEX(ModelAnswers!$F$2:$F$176,MATCH($A55,ModelAnswers!$A$2:$A$176,0)),"")</f>
        <v/>
      </c>
      <c r="G55" s="70" t="inlineStr">
        <is>
          <t>westpac_medical</t>
        </is>
      </c>
      <c r="H55" s="71">
        <f>IFERROR(INDEX(ModelAnswers!$G$2:$G$176,MATCH($A55,ModelAnswers!$A$2:$A$176,0)),"")</f>
        <v/>
      </c>
      <c r="I55" s="72">
        <f>IF($H55="","",IF(EXACT(TRIM($G55),TRIM($H55)),1,0))</f>
        <v/>
      </c>
      <c r="J55" s="73" t="n">
        <v>3</v>
      </c>
      <c r="K55" s="58" t="inlineStr">
        <is>
          <t>Retrieval: HIT (expected westpac_medical, got ['westpac_medical', 'westpac_channels_overview', 'westpac_replacement', 'westpac_exclusions', 'westpac_drivexpress', 'westpac_rollover']). Auto-scored via source-hit + gold-number-match + keyword-overlap heuristic (see tests/test_queries.py:score_answer). Human reviewer should verify.</t>
        </is>
      </c>
      <c r="L55" s="58" t="n"/>
      <c r="M55" s="74" t="n"/>
    </row>
    <row r="56" ht="57.45" customHeight="1" s="44">
      <c r="A56" s="56" t="inlineStr">
        <is>
          <t>WBC-05</t>
        </is>
      </c>
      <c r="B56" s="64" t="inlineStr">
        <is>
          <t>Westpac</t>
        </is>
      </c>
      <c r="C56" s="56" t="inlineStr">
        <is>
          <t>SPECIAL_PROGRAMS</t>
        </is>
      </c>
      <c r="D56" s="56" t="inlineStr">
        <is>
          <t>Are pharmacists eligible under Westpac's Medical channel?</t>
        </is>
      </c>
      <c r="E56" s="56" t="inlineStr">
        <is>
          <t>No. Pharmacists are explicitly excluded from Westpac's Medical channel. Eligible allied health practitioners include occupational therapists, optometrists, osteopaths, physiotherapists, chiropractors, audiologists, pathology services, podiatrists, psychologists and speech pathologists.</t>
        </is>
      </c>
      <c r="F56" s="69">
        <f>IFERROR(INDEX(ModelAnswers!$F$2:$F$176,MATCH($A56,ModelAnswers!$A$2:$A$176,0)),"")</f>
        <v/>
      </c>
      <c r="G56" s="70" t="inlineStr">
        <is>
          <t>westpac_medical</t>
        </is>
      </c>
      <c r="H56" s="71">
        <f>IFERROR(INDEX(ModelAnswers!$G$2:$G$176,MATCH($A56,ModelAnswers!$A$2:$A$176,0)),"")</f>
        <v/>
      </c>
      <c r="I56" s="72">
        <f>IF($H56="","",IF(EXACT(TRIM($G56),TRIM($H56)),1,0))</f>
        <v/>
      </c>
      <c r="J56" s="73" t="n">
        <v>3</v>
      </c>
      <c r="K56" s="58" t="inlineStr">
        <is>
          <t>Retrieval: HIT (expected westpac_medical, got ['westpac_medical', 'westpac_channels_overview', 'westpac_rollover', 'westpac_replacement', 'westpac_exclusions']). Auto-scored via source-hit + gold-number-match + keyword-overlap heuristic (see tests/test_queries.py:score_answer). Human reviewer should verify.</t>
        </is>
      </c>
      <c r="L56" s="58" t="n"/>
      <c r="M56" s="74" t="n"/>
    </row>
    <row r="57" ht="57.45" customHeight="1" s="44">
      <c r="A57" s="56" t="inlineStr">
        <is>
          <t>WBC-06</t>
        </is>
      </c>
      <c r="B57" s="64" t="inlineStr">
        <is>
          <t>Westpac</t>
        </is>
      </c>
      <c r="C57" s="56" t="inlineStr">
        <is>
          <t>SPECIAL_PROGRAMS</t>
        </is>
      </c>
      <c r="D57" s="56" t="inlineStr">
        <is>
          <t>What is the maximum Rollover loan if the original funder is not Westpac?</t>
        </is>
      </c>
      <c r="E57" s="56" t="inlineStr">
        <is>
          <t>If the original funder is another financier, the Rollover maximum is $250k (inspection required), for Category A &amp; B goods only. If the original funder is Westpac, the maximum is $500k for all categories. New-to-bank clients are not eligible for Rollover.</t>
        </is>
      </c>
      <c r="F57" s="69">
        <f>IFERROR(INDEX(ModelAnswers!$F$2:$F$176,MATCH($A57,ModelAnswers!$A$2:$A$176,0)),"")</f>
        <v/>
      </c>
      <c r="G57" s="70" t="inlineStr">
        <is>
          <t>westpac_rollover</t>
        </is>
      </c>
      <c r="H57" s="71">
        <f>IFERROR(INDEX(ModelAnswers!$G$2:$G$176,MATCH($A57,ModelAnswers!$A$2:$A$176,0)),"")</f>
        <v/>
      </c>
      <c r="I57" s="72">
        <f>IF($H57="","",IF(EXACT(TRIM($G57),TRIM($H57)),1,0))</f>
        <v/>
      </c>
      <c r="J57" s="73" t="n">
        <v>3</v>
      </c>
      <c r="K57" s="58" t="inlineStr">
        <is>
          <t>Retrieval: HIT (expected westpac_rollover, got ['westpac_rollover', 'westpac_replacement', 'westpac_channels_overview', 'westpac_exclusions', 'westpac_drivexpress', 'westpac_medical']). Auto-scored via source-hit + gold-number-match + keyword-overlap heuristic (see tests/test_queries.py:score_answer). Human reviewer should verify.</t>
        </is>
      </c>
      <c r="L57" s="58" t="n"/>
      <c r="M57" s="74" t="n"/>
    </row>
    <row r="58" ht="57.45" customHeight="1" s="44">
      <c r="A58" s="56" t="inlineStr">
        <is>
          <t>WBC-07</t>
        </is>
      </c>
      <c r="B58" s="64" t="inlineStr">
        <is>
          <t>Westpac</t>
        </is>
      </c>
      <c r="C58" s="56" t="inlineStr">
        <is>
          <t>SPECIAL_PROGRAMS</t>
        </is>
      </c>
      <c r="D58" s="56" t="inlineStr">
        <is>
          <t>Under Westpac's Replacement channel, what repayment increase is allowed for a new-to-bank versus existing customer?</t>
        </is>
      </c>
      <c r="E58" s="56" t="inlineStr">
        <is>
          <t>Monthly repayments must be within 125% of the payment being replaced for new-to-bank customers, and within 150% for existing customers. The contract being replaced must have operated at least 12 months and been finalised within the last 6 months / on settlement.</t>
        </is>
      </c>
      <c r="F58" s="69">
        <f>IFERROR(INDEX(ModelAnswers!$F$2:$F$176,MATCH($A58,ModelAnswers!$A$2:$A$176,0)),"")</f>
        <v/>
      </c>
      <c r="G58" s="70" t="inlineStr">
        <is>
          <t>westpac_replacement</t>
        </is>
      </c>
      <c r="H58" s="71">
        <f>IFERROR(INDEX(ModelAnswers!$G$2:$G$176,MATCH($A58,ModelAnswers!$A$2:$A$176,0)),"")</f>
        <v/>
      </c>
      <c r="I58" s="72">
        <f>IF($H58="","",IF(EXACT(TRIM($G58),TRIM($H58)),1,0))</f>
        <v/>
      </c>
      <c r="J58" s="73" t="n">
        <v>3</v>
      </c>
      <c r="K58" s="58" t="inlineStr">
        <is>
          <t>Retrieval: HIT (expected westpac_replacement, got ['westpac_replacement', 'westpac_rollover', 'westpac_channels_overview', 'westpac_drivexpress', 'westpac_standard_rates', 'westpac_medical']). Auto-scored via source-hit + gold-number-match + keyword-overlap heuristic (see tests/test_queries.py:score_answer). Human reviewer should verify.</t>
        </is>
      </c>
      <c r="L58" s="58" t="n"/>
      <c r="M58" s="74" t="n"/>
    </row>
    <row r="59" ht="79.84999999999999" customHeight="1" s="44">
      <c r="A59" s="56" t="inlineStr">
        <is>
          <t>WBC-08</t>
        </is>
      </c>
      <c r="B59" s="64" t="inlineStr">
        <is>
          <t>Westpac</t>
        </is>
      </c>
      <c r="C59" s="56" t="inlineStr">
        <is>
          <t>SETTLEMENT</t>
        </is>
      </c>
      <c r="D59" s="56" t="inlineStr">
        <is>
          <t>When is a PPSR company search no longer required under Westpac's updated settlement rules?</t>
        </is>
      </c>
      <c r="E59" s="56" t="inlineStr">
        <is>
          <t>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is>
      </c>
      <c r="F59" s="69">
        <f>IFERROR(INDEX(ModelAnswers!$F$2:$F$176,MATCH($A59,ModelAnswers!$A$2:$A$176,0)),"")</f>
        <v/>
      </c>
      <c r="G59" s="70" t="inlineStr">
        <is>
          <t>westpac_settlement</t>
        </is>
      </c>
      <c r="H59" s="71">
        <f>IFERROR(INDEX(ModelAnswers!$G$2:$G$176,MATCH($A59,ModelAnswers!$A$2:$A$176,0)),"")</f>
        <v/>
      </c>
      <c r="I59" s="72">
        <f>IF($H59="","",IF(EXACT(TRIM($G59),TRIM($H59)),1,0))</f>
        <v/>
      </c>
      <c r="J59" s="73" t="n">
        <v>2</v>
      </c>
      <c r="K59" s="58" t="inlineStr">
        <is>
          <t>Retrieval: HIT (expected westpac_settlement, got ['westpac_settlement', 'westpac_replacement', 'westpac_exclusions', 'westpac_channels_overview', 'westpac_rollover']). Auto-scored via source-hit + gold-number-match + keyword-overlap heuristic (see tests/test_queries.py:score_answer). Human reviewer should verify.</t>
        </is>
      </c>
      <c r="L59" s="58" t="n"/>
      <c r="M59" s="74" t="n"/>
    </row>
    <row r="60" ht="57.45" customHeight="1" s="44">
      <c r="A60" s="56" t="inlineStr">
        <is>
          <t>WBC-09</t>
        </is>
      </c>
      <c r="B60" s="64" t="inlineStr">
        <is>
          <t>Westpac</t>
        </is>
      </c>
      <c r="C60" s="56" t="inlineStr">
        <is>
          <t>PRICING</t>
        </is>
      </c>
      <c r="D60" s="56" t="inlineStr">
        <is>
          <t>What loading applies to a used motor vehicle aged 4-10 years under Westpac's standard rates?</t>
        </is>
      </c>
      <c r="E60" s="56" t="inlineStr">
        <is>
          <t>Used motor vehicles between 4 and 10 years old add 0.75% to the applicable standard rate. Electric vehicles instead reduce the applicable rate by 1%. Standard rates apply to Hire Purchase, Commercial Loan and Finance Lease for monthly repayment structures.</t>
        </is>
      </c>
      <c r="F60" s="69">
        <f>IFERROR(INDEX(ModelAnswers!$F$2:$F$176,MATCH($A60,ModelAnswers!$A$2:$A$176,0)),"")</f>
        <v/>
      </c>
      <c r="G60" s="70" t="inlineStr">
        <is>
          <t>westpac_standard_rates</t>
        </is>
      </c>
      <c r="H60" s="71">
        <f>IFERROR(INDEX(ModelAnswers!$G$2:$G$176,MATCH($A60,ModelAnswers!$A$2:$A$176,0)),"")</f>
        <v/>
      </c>
      <c r="I60" s="72">
        <f>IF($H60="","",IF(EXACT(TRIM($G60),TRIM($H60)),1,0))</f>
        <v/>
      </c>
      <c r="J60" s="73" t="n">
        <v>3</v>
      </c>
      <c r="K60" s="58" t="inlineStr">
        <is>
          <t>Retrieval: HIT (expected westpac_standard_rates, got ['westpac_standard_rates', 'westpac_xpress_rates', 'westpac_exclusions', 'westpac_replacement', 'westpac_settlement']). Auto-scored via source-hit + gold-number-match + keyword-overlap heuristic (see tests/test_queries.py:score_answer). Human reviewer should verify.</t>
        </is>
      </c>
      <c r="L60" s="58" t="n"/>
      <c r="M60" s="74" t="n"/>
    </row>
    <row r="61" ht="46.25" customHeight="1" s="44">
      <c r="A61" s="56" t="inlineStr">
        <is>
          <t>WBC-10</t>
        </is>
      </c>
      <c r="B61" s="64" t="inlineStr">
        <is>
          <t>Westpac</t>
        </is>
      </c>
      <c r="C61" s="56" t="inlineStr">
        <is>
          <t>EXCLUSIONS</t>
        </is>
      </c>
      <c r="D61" s="56" t="inlineStr">
        <is>
          <t>For which asset categories does Westpac permit private sales?</t>
        </is>
      </c>
      <c r="E61" s="56" t="inlineStr">
        <is>
          <t>Private sales are available for Category A assets only (passenger cars and light commercial vehicles under 4.5T GVM). They are not available for Category B (heavy equipment) or Category C (agriculture).</t>
        </is>
      </c>
      <c r="F61" s="69">
        <f>IFERROR(INDEX(ModelAnswers!$F$2:$F$176,MATCH($A61,ModelAnswers!$A$2:$A$176,0)),"")</f>
        <v/>
      </c>
      <c r="G61" s="70" t="inlineStr">
        <is>
          <t>westpac_exclusions</t>
        </is>
      </c>
      <c r="H61" s="71">
        <f>IFERROR(INDEX(ModelAnswers!$G$2:$G$176,MATCH($A61,ModelAnswers!$A$2:$A$176,0)),"")</f>
        <v/>
      </c>
      <c r="I61" s="72">
        <f>IF($H61="","",IF(EXACT(TRIM($G61),TRIM($H61)),1,0))</f>
        <v/>
      </c>
      <c r="J61" s="73" t="n">
        <v>4</v>
      </c>
      <c r="K61" s="58" t="inlineStr">
        <is>
          <t>Retrieval: HIT (expected westpac_exclusions, got ['westpac_exclusions', 'westpac_settlement', 'westpac_channels_overview', 'westpac_drivexpress', 'westpac_xpress_rates']). Auto-scored via source-hit + gold-number-match + keyword-overlap heuristic (see tests/test_queries.py:score_answer). Human reviewer should verify.</t>
        </is>
      </c>
      <c r="L61" s="58" t="n"/>
      <c r="M61" s="74" t="n"/>
    </row>
    <row r="62" ht="35.05" customHeight="1" s="44">
      <c r="A62" s="56" t="inlineStr">
        <is>
          <t>WBC-11</t>
        </is>
      </c>
      <c r="B62" s="64" t="inlineStr">
        <is>
          <t>Westpac</t>
        </is>
      </c>
      <c r="C62" s="56" t="inlineStr">
        <is>
          <t>PRICING</t>
        </is>
      </c>
      <c r="D62" s="56" t="inlineStr">
        <is>
          <t>What is Westpac's Xpress rate for heavy equipment (e.g. an excavator) from a licensed dealer?</t>
        </is>
      </c>
      <c r="E62" s="56" t="inlineStr">
        <is>
          <t>Heavy equipment (trucks &gt;4.5T, excavators, etc., up to 5 years old, licensed dealer) is 8.17% p.a. for a 24/36/48-month term and 8.37% for 60 months.</t>
        </is>
      </c>
      <c r="F62" s="69">
        <f>IFERROR(INDEX(ModelAnswers!$F$2:$F$176,MATCH($A62,ModelAnswers!$A$2:$A$176,0)),"")</f>
        <v/>
      </c>
      <c r="G62" s="70" t="inlineStr">
        <is>
          <t>westpac_xpress_rates</t>
        </is>
      </c>
      <c r="H62" s="71">
        <f>IFERROR(INDEX(ModelAnswers!$G$2:$G$176,MATCH($A62,ModelAnswers!$A$2:$A$176,0)),"")</f>
        <v/>
      </c>
      <c r="I62" s="72">
        <f>IF($H62="","",IF(EXACT(TRIM($G62),TRIM($H62)),1,0))</f>
        <v/>
      </c>
      <c r="J62" s="73" t="n">
        <v>3</v>
      </c>
      <c r="K62" s="58" t="inlineStr">
        <is>
          <t>Retrieval: HIT (expected westpac_xpress_rates, got ['westpac_xpress_rates', 'westpac_standard_rates', 'westpac_exclusions', 'westpac_rollover', 'westpac_drivexpress']). Auto-scored via source-hit + gold-number-match + keyword-overlap heuristic (see tests/test_queries.py:score_answer). Human reviewer should verify.</t>
        </is>
      </c>
      <c r="L62" s="58" t="n"/>
      <c r="M62" s="74" t="n"/>
    </row>
    <row r="63" ht="35.05" customHeight="1" s="44">
      <c r="A63" s="56" t="inlineStr">
        <is>
          <t>WBC-12</t>
        </is>
      </c>
      <c r="B63" s="64" t="inlineStr">
        <is>
          <t>Westpac</t>
        </is>
      </c>
      <c r="C63" s="56" t="inlineStr">
        <is>
          <t>ASSET_ELIGIBILITY</t>
        </is>
      </c>
      <c r="D63" s="56" t="inlineStr">
        <is>
          <t>What age limit applies to mobile cranes under Westpac's DriveXpress Category B?</t>
        </is>
      </c>
      <c r="E63" s="56" t="inlineStr">
        <is>
          <t>Category B assets are generally accepted up to 5 years old (dealer only), but mobile/tight access cranes are limited to up to 3 years old.</t>
        </is>
      </c>
      <c r="F63" s="69">
        <f>IFERROR(INDEX(ModelAnswers!$F$2:$F$176,MATCH($A63,ModelAnswers!$A$2:$A$176,0)),"")</f>
        <v/>
      </c>
      <c r="G63" s="70" t="inlineStr">
        <is>
          <t>westpac_drivexpress</t>
        </is>
      </c>
      <c r="H63" s="71">
        <f>IFERROR(INDEX(ModelAnswers!$G$2:$G$176,MATCH($A63,ModelAnswers!$A$2:$A$176,0)),"")</f>
        <v/>
      </c>
      <c r="I63" s="72">
        <f>IF($H63="","",IF(EXACT(TRIM($G63),TRIM($H63)),1,0))</f>
        <v/>
      </c>
      <c r="J63" s="73" t="n">
        <v>4</v>
      </c>
      <c r="K63" s="58" t="inlineStr">
        <is>
          <t>Retrieval: HIT (expected westpac_drivexpress, got ['westpac_drivexpress', 'westpac_exclusions', 'westpac_xpress_rates', 'westpac_standard_rates', 'westpac_rollover']). Auto-scored via source-hit + gold-number-match + keyword-overlap heuristic (see tests/test_queries.py:score_answer). Human reviewer should verify.</t>
        </is>
      </c>
      <c r="L63" s="58" t="n"/>
      <c r="M63" s="74" t="n"/>
    </row>
    <row r="64" ht="35.05" customHeight="1" s="44">
      <c r="A64" s="56" t="inlineStr">
        <is>
          <t>WBC-13</t>
        </is>
      </c>
      <c r="B64" s="64" t="inlineStr">
        <is>
          <t>Westpac</t>
        </is>
      </c>
      <c r="C64" s="56" t="inlineStr">
        <is>
          <t>SPECIAL_PROGRAMS</t>
        </is>
      </c>
      <c r="D64" s="56" t="inlineStr">
        <is>
          <t>What special Category C provision applies only under Westpac's Replacement channel?</t>
        </is>
      </c>
      <c r="E64" s="56" t="inlineStr">
        <is>
          <t>Under Replacement only, Category C includes government/school/local route buses (excludes charter), up to 5 years old, with loan terms up to 10 years (dealer only).</t>
        </is>
      </c>
      <c r="F64" s="69">
        <f>IFERROR(INDEX(ModelAnswers!$F$2:$F$176,MATCH($A64,ModelAnswers!$A$2:$A$176,0)),"")</f>
        <v/>
      </c>
      <c r="G64" s="70" t="inlineStr">
        <is>
          <t>westpac_replacement</t>
        </is>
      </c>
      <c r="H64" s="71">
        <f>IFERROR(INDEX(ModelAnswers!$G$2:$G$176,MATCH($A64,ModelAnswers!$A$2:$A$176,0)),"")</f>
        <v/>
      </c>
      <c r="I64" s="72">
        <f>IF($H64="","",IF(EXACT(TRIM($G64),TRIM($H64)),1,0))</f>
        <v/>
      </c>
      <c r="J64" s="73" t="n">
        <v>4</v>
      </c>
      <c r="K64" s="58" t="inlineStr">
        <is>
          <t>Retrieval: HIT (expected westpac_replacement, got ['westpac_channels_overview', 'westpac_replacement', 'westpac_rollover', 'westpac_exclusions', 'westpac_medical']). Auto-scored via source-hit + gold-number-match + keyword-overlap heuristic (see tests/test_queries.py:score_answer). Human reviewer should verify.</t>
        </is>
      </c>
      <c r="L64" s="58" t="n"/>
      <c r="M64" s="74" t="n"/>
    </row>
    <row r="65" ht="46.25" customHeight="1" s="44">
      <c r="A65" s="56" t="inlineStr">
        <is>
          <t>WBC-14</t>
        </is>
      </c>
      <c r="B65" s="64" t="inlineStr">
        <is>
          <t>Westpac</t>
        </is>
      </c>
      <c r="C65" s="56" t="inlineStr">
        <is>
          <t>PRICING</t>
        </is>
      </c>
      <c r="D65" s="56" t="inlineStr">
        <is>
          <t>What is Westpac's standard rate for new plant and equipment financed at $50,000-$150,000 over a 24-36 month term?</t>
        </is>
      </c>
      <c r="E65" s="56" t="inlineStr">
        <is>
          <t>New plant and equipment financed at $50,000-$150,000 is 8.52% p.a. for a 24-36 month term (8.62% at 48 months, 8.82% at 60 months). This excludes computers, fixtures and fittings.</t>
        </is>
      </c>
      <c r="F65" s="69">
        <f>IFERROR(INDEX(ModelAnswers!$F$2:$F$176,MATCH($A65,ModelAnswers!$A$2:$A$176,0)),"")</f>
        <v/>
      </c>
      <c r="G65" s="70" t="inlineStr">
        <is>
          <t>westpac_standard_rates</t>
        </is>
      </c>
      <c r="H65" s="71">
        <f>IFERROR(INDEX(ModelAnswers!$G$2:$G$176,MATCH($A65,ModelAnswers!$A$2:$A$176,0)),"")</f>
        <v/>
      </c>
      <c r="I65" s="72">
        <f>IF($H65="","",IF(EXACT(TRIM($G65),TRIM($H65)),1,0))</f>
        <v/>
      </c>
      <c r="J65" s="73" t="n">
        <v>3</v>
      </c>
      <c r="K65" s="58" t="inlineStr">
        <is>
          <t>Retrieval: HIT (expected westpac_standard_rates, got ['westpac_standard_rates', 'westpac_xpress_rates', 'westpac_rollover', 'westpac_replacement', 'westpac_exclusions']). Auto-scored via source-hit + gold-number-match + keyword-overlap heuristic (see tests/test_queries.py:score_answer). Human reviewer should verify.</t>
        </is>
      </c>
      <c r="L65" s="58" t="n"/>
      <c r="M65" s="74" t="n"/>
    </row>
    <row r="66" ht="68.65000000000001" customHeight="1" s="44">
      <c r="A66" s="56" t="inlineStr">
        <is>
          <t>WBC-15</t>
        </is>
      </c>
      <c r="B66" s="64" t="inlineStr">
        <is>
          <t>Westpac</t>
        </is>
      </c>
      <c r="C66" s="56" t="inlineStr">
        <is>
          <t>ELIGIBILITY</t>
        </is>
      </c>
      <c r="D66" s="56" t="inlineStr">
        <is>
          <t>What universal eligibility criteria apply across all Westpac WEF channels?</t>
        </is>
      </c>
      <c r="E66" s="56" t="inlineStr">
        <is>
          <t>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is>
      </c>
      <c r="F66" s="69">
        <f>IFERROR(INDEX(ModelAnswers!$F$2:$F$176,MATCH($A66,ModelAnswers!$A$2:$A$176,0)),"")</f>
        <v/>
      </c>
      <c r="G66" s="70" t="inlineStr">
        <is>
          <t>westpac_channels_overview</t>
        </is>
      </c>
      <c r="H66" s="71">
        <f>IFERROR(INDEX(ModelAnswers!$G$2:$G$176,MATCH($A66,ModelAnswers!$A$2:$A$176,0)),"")</f>
        <v/>
      </c>
      <c r="I66" s="72">
        <f>IF($H66="","",IF(EXACT(TRIM($G66),TRIM($H66)),1,0))</f>
        <v/>
      </c>
      <c r="J66" s="73" t="n">
        <v>4</v>
      </c>
      <c r="K66" s="58" t="inlineStr">
        <is>
          <t>Retrieval: HIT (expected westpac_channels_overview, got ['westpac_channels_overview', 'westpac_medical', 'westpac_rollover', 'westpac_exclusions', 'westpac_replacement', 'westpac_drivexpress']). Auto-scored via source-hit + gold-number-match + keyword-overlap heuristic (see tests/test_queries.py:score_answer). Human reviewer should verify.</t>
        </is>
      </c>
      <c r="L66" s="58" t="n"/>
      <c r="M66" s="74" t="n"/>
    </row>
    <row r="67" ht="23.85" customHeight="1" s="44">
      <c r="A67" s="56" t="inlineStr">
        <is>
          <t>WBC-16</t>
        </is>
      </c>
      <c r="B67" s="64" t="inlineStr">
        <is>
          <t>Westpac</t>
        </is>
      </c>
      <c r="C67" s="56" t="inlineStr">
        <is>
          <t>ELIGIBILITY</t>
        </is>
      </c>
      <c r="D67" s="56" t="inlineStr">
        <is>
          <t>How many specialist channels does Westpac Equipment Finance operate, and what are they?</t>
        </is>
      </c>
      <c r="E67" s="56" t="inlineStr">
        <is>
          <t>Westpac WEF operates four specialist channels: DriveXpress, Rollover, Replacement, and Medical.</t>
        </is>
      </c>
      <c r="F67" s="69">
        <f>IFERROR(INDEX(ModelAnswers!$F$2:$F$176,MATCH($A67,ModelAnswers!$A$2:$A$176,0)),"")</f>
        <v/>
      </c>
      <c r="G67" s="70" t="inlineStr">
        <is>
          <t>westpac_channels_overview</t>
        </is>
      </c>
      <c r="H67" s="71">
        <f>IFERROR(INDEX(ModelAnswers!$G$2:$G$176,MATCH($A67,ModelAnswers!$A$2:$A$176,0)),"")</f>
        <v/>
      </c>
      <c r="I67" s="72">
        <f>IF($H67="","",IF(EXACT(TRIM($G67),TRIM($H67)),1,0))</f>
        <v/>
      </c>
      <c r="J67" s="73" t="n">
        <v>3</v>
      </c>
      <c r="K67" s="58" t="inlineStr">
        <is>
          <t>Retrieval: HIT (expected westpac_channels_overview, got ['westpac_medical', 'westpac_channels_overview', 'westpac_replacement', 'westpac_rollover', 'westpac_exclusions', 'westpac_xpress_rates', 'westpac_standard_rates']). Auto-scored via source-hit + gold-number-match + keyword-overlap heuristic (see tests/test_queries.py:score_answer). Human reviewer should verify.</t>
        </is>
      </c>
      <c r="L67" s="58" t="n"/>
      <c r="M67" s="74" t="n"/>
    </row>
    <row r="68" ht="35.05" customHeight="1" s="44">
      <c r="A68" s="56" t="inlineStr">
        <is>
          <t>WBC-17</t>
        </is>
      </c>
      <c r="B68" s="64" t="inlineStr">
        <is>
          <t>Westpac</t>
        </is>
      </c>
      <c r="C68" s="56" t="inlineStr">
        <is>
          <t>LOAN_LIMITS</t>
        </is>
      </c>
      <c r="D68" s="56" t="inlineStr">
        <is>
          <t>What is the maximum DriveXpress exposure for an existing Westpac client?</t>
        </is>
      </c>
      <c r="E68" s="56" t="inlineStr">
        <is>
          <t>The maximum DriveXpress exposure for an existing client is $750k (aggregate of loan balances under the DriveXpress policy).</t>
        </is>
      </c>
      <c r="F68" s="69">
        <f>IFERROR(INDEX(ModelAnswers!$F$2:$F$176,MATCH($A68,ModelAnswers!$A$2:$A$176,0)),"")</f>
        <v/>
      </c>
      <c r="G68" s="70" t="inlineStr">
        <is>
          <t>westpac_drivexpress</t>
        </is>
      </c>
      <c r="H68" s="71">
        <f>IFERROR(INDEX(ModelAnswers!$G$2:$G$176,MATCH($A68,ModelAnswers!$A$2:$A$176,0)),"")</f>
        <v/>
      </c>
      <c r="I68" s="72">
        <f>IF($H68="","",IF(EXACT(TRIM($G68),TRIM($H68)),1,0))</f>
        <v/>
      </c>
      <c r="J68" s="73" t="n">
        <v>3</v>
      </c>
      <c r="K68" s="58" t="inlineStr">
        <is>
          <t>Retrieval: HIT (expected westpac_drivexpress, got ['westpac_drivexpress', 'westpac_replacement', 'westpac_channels_overview', 'westpac_xpress_rates', 'westpac_rollover']). Auto-scored via source-hit + gold-number-match + keyword-overlap heuristic (see tests/test_queries.py:score_answer). Human reviewer should verify.</t>
        </is>
      </c>
      <c r="L68" s="58" t="n"/>
      <c r="M68" s="74" t="n"/>
    </row>
    <row r="69" ht="46.25" customHeight="1" s="44">
      <c r="A69" s="56" t="inlineStr">
        <is>
          <t>WBC-18</t>
        </is>
      </c>
      <c r="B69" s="64" t="inlineStr">
        <is>
          <t>Westpac</t>
        </is>
      </c>
      <c r="C69" s="56" t="inlineStr">
        <is>
          <t>SETTLEMENT</t>
        </is>
      </c>
      <c r="D69" s="56" t="inlineStr">
        <is>
          <t>What is the fleet-policy exemption for a Certificate of Currency at Westpac?</t>
        </is>
      </c>
      <c r="E69" s="56" t="inlineStr">
        <is>
          <t>Effective 24 February 2025, where the CoC confirms the policy is a 'fleet policy', the specific asset VIN/serial number no longer needs to be included on the CoC. This applies to motor vehicles only, for assets above $150k.</t>
        </is>
      </c>
      <c r="F69" s="69">
        <f>IFERROR(INDEX(ModelAnswers!$F$2:$F$176,MATCH($A69,ModelAnswers!$A$2:$A$176,0)),"")</f>
        <v/>
      </c>
      <c r="G69" s="70" t="inlineStr">
        <is>
          <t>westpac_settlement</t>
        </is>
      </c>
      <c r="H69" s="71">
        <f>IFERROR(INDEX(ModelAnswers!$G$2:$G$176,MATCH($A69,ModelAnswers!$A$2:$A$176,0)),"")</f>
        <v/>
      </c>
      <c r="I69" s="72">
        <f>IF($H69="","",IF(EXACT(TRIM($G69),TRIM($H69)),1,0))</f>
        <v/>
      </c>
      <c r="J69" s="73" t="n">
        <v>2</v>
      </c>
      <c r="K69" s="58" t="inlineStr">
        <is>
          <t>Retrieval: HIT (expected westpac_settlement, got ['westpac_settlement', 'westpac_rollover', 'westpac_exclusions', 'westpac_channels_overview', 'westpac_standard_rates']). Auto-scored via source-hit + gold-number-match + keyword-overlap heuristic (see tests/test_queries.py:score_answer). Human reviewer should verify.</t>
        </is>
      </c>
      <c r="L69" s="58" t="n"/>
      <c r="M69" s="74" t="n"/>
    </row>
    <row r="70" ht="23.85" customHeight="1" s="44">
      <c r="A70" s="56" t="inlineStr">
        <is>
          <t>WBC-19</t>
        </is>
      </c>
      <c r="B70" s="64" t="inlineStr">
        <is>
          <t>Westpac</t>
        </is>
      </c>
      <c r="C70" s="56" t="inlineStr">
        <is>
          <t>PRICING</t>
        </is>
      </c>
      <c r="D70" s="56" t="inlineStr">
        <is>
          <t>What is the maximum brokerage on a Westpac Xpress deal?</t>
        </is>
      </c>
      <c r="E70" s="56" t="inlineStr">
        <is>
          <t>Brokerage on Xpress deals is limited to a maximum of 3%.</t>
        </is>
      </c>
      <c r="F70" s="69">
        <f>IFERROR(INDEX(ModelAnswers!$F$2:$F$176,MATCH($A70,ModelAnswers!$A$2:$A$176,0)),"")</f>
        <v/>
      </c>
      <c r="G70" s="70" t="inlineStr">
        <is>
          <t>westpac_xpress_rates</t>
        </is>
      </c>
      <c r="H70" s="71">
        <f>IFERROR(INDEX(ModelAnswers!$G$2:$G$176,MATCH($A70,ModelAnswers!$A$2:$A$176,0)),"")</f>
        <v/>
      </c>
      <c r="I70" s="72">
        <f>IF($H70="","",IF(EXACT(TRIM($G70),TRIM($H70)),1,0))</f>
        <v/>
      </c>
      <c r="J70" s="73" t="n">
        <v>4</v>
      </c>
      <c r="K70" s="58" t="inlineStr">
        <is>
          <t>Retrieval: HIT (expected westpac_xpress_rates, got ['westpac_xpress_rates', 'westpac_rollover', 'westpac_drivexpress', 'westpac_replacement', 'westpac_exclusions']). Auto-scored via source-hit + gold-number-match + keyword-overlap heuristic (see tests/test_queries.py:score_answer). Human reviewer should verify.</t>
        </is>
      </c>
      <c r="L70" s="58" t="n"/>
      <c r="M70" s="74" t="n"/>
    </row>
    <row r="71" ht="35.05" customHeight="1" s="44">
      <c r="A71" s="56" t="inlineStr">
        <is>
          <t>WBC-20</t>
        </is>
      </c>
      <c r="B71" s="64" t="inlineStr">
        <is>
          <t>Westpac</t>
        </is>
      </c>
      <c r="C71" s="56" t="inlineStr">
        <is>
          <t>SPECIAL_PROGRAMS</t>
        </is>
      </c>
      <c r="D71" s="56" t="inlineStr">
        <is>
          <t>What is the new medical equipment limit for a specialist under Westpac's Medical channel?</t>
        </is>
      </c>
      <c r="E71" s="56" t="inlineStr">
        <is>
          <t>For a medical specialist/GP/dental/vet, the new medical equipment limit is under $350,000. For an allied health practitioner it is under $150,000.</t>
        </is>
      </c>
      <c r="F71" s="69">
        <f>IFERROR(INDEX(ModelAnswers!$F$2:$F$176,MATCH($A71,ModelAnswers!$A$2:$A$176,0)),"")</f>
        <v/>
      </c>
      <c r="G71" s="70" t="inlineStr">
        <is>
          <t>westpac_medical</t>
        </is>
      </c>
      <c r="H71" s="71">
        <f>IFERROR(INDEX(ModelAnswers!$G$2:$G$176,MATCH($A71,ModelAnswers!$A$2:$A$176,0)),"")</f>
        <v/>
      </c>
      <c r="I71" s="72">
        <f>IF($H71="","",IF(EXACT(TRIM($G71),TRIM($H71)),1,0))</f>
        <v/>
      </c>
      <c r="J71" s="73" t="n">
        <v>3</v>
      </c>
      <c r="K71" s="58" t="inlineStr">
        <is>
          <t>Retrieval: HIT (expected westpac_medical, got ['westpac_medical', 'westpac_channels_overview', 'westpac_replacement', 'westpac_rollover', 'westpac_exclusions']). Auto-scored via source-hit + gold-number-match + keyword-overlap heuristic (see tests/test_queries.py:score_answer). Human reviewer should verify.</t>
        </is>
      </c>
      <c r="L71" s="58" t="n"/>
      <c r="M71" s="74" t="n"/>
    </row>
    <row r="72" ht="23.85" customHeight="1" s="44">
      <c r="A72" s="56" t="inlineStr">
        <is>
          <t>WBC-21</t>
        </is>
      </c>
      <c r="B72" s="64" t="inlineStr">
        <is>
          <t>Westpac</t>
        </is>
      </c>
      <c r="C72" s="56" t="inlineStr">
        <is>
          <t>ASSET_ELIGIBILITY</t>
        </is>
      </c>
      <c r="D72" s="56" t="inlineStr">
        <is>
          <t>Which asset category does a tractor fall under in Westpac's DriveXpress?</t>
        </is>
      </c>
      <c r="E72" s="56" t="inlineStr">
        <is>
          <t>A tractor falls under Category C (agricultural equipment), accepted up to 7 years old from dealers only.</t>
        </is>
      </c>
      <c r="F72" s="69">
        <f>IFERROR(INDEX(ModelAnswers!$F$2:$F$176,MATCH($A72,ModelAnswers!$A$2:$A$176,0)),"")</f>
        <v/>
      </c>
      <c r="G72" s="70" t="inlineStr">
        <is>
          <t>westpac_drivexpress</t>
        </is>
      </c>
      <c r="H72" s="71">
        <f>IFERROR(INDEX(ModelAnswers!$G$2:$G$176,MATCH($A72,ModelAnswers!$A$2:$A$176,0)),"")</f>
        <v/>
      </c>
      <c r="I72" s="72">
        <f>IF($H72="","",IF(EXACT(TRIM($G72),TRIM($H72)),1,0))</f>
        <v/>
      </c>
      <c r="J72" s="73" t="n">
        <v>2</v>
      </c>
      <c r="K72" s="58" t="inlineStr">
        <is>
          <t>Retrieval: HIT (expected westpac_drivexpress, got ['westpac_exclusions', 'westpac_drivexpress', 'westpac_xpress_rates', 'westpac_standard_rates', 'westpac_settlement']). Auto-scored via source-hit + gold-number-match + keyword-overlap heuristic (see tests/test_queries.py:score_answer). Human reviewer should verify.</t>
        </is>
      </c>
      <c r="L72" s="58" t="n"/>
      <c r="M72" s="74" t="n"/>
    </row>
    <row r="73" ht="23.85" customHeight="1" s="44">
      <c r="A73" s="56" t="inlineStr">
        <is>
          <t>WBC-22</t>
        </is>
      </c>
      <c r="B73" s="64" t="inlineStr">
        <is>
          <t>Westpac</t>
        </is>
      </c>
      <c r="C73" s="56" t="inlineStr">
        <is>
          <t>SPECIAL_PROGRAMS</t>
        </is>
      </c>
      <c r="D73" s="56" t="inlineStr">
        <is>
          <t>Can a new-to-bank customer use Westpac's Rollover channel?</t>
        </is>
      </c>
      <c r="E73" s="56" t="inlineStr">
        <is>
          <t>No. New-to-bank clients are not eligible for the Rollover channel — it is for existing clients with WEF history only.</t>
        </is>
      </c>
      <c r="F73" s="69">
        <f>IFERROR(INDEX(ModelAnswers!$F$2:$F$176,MATCH($A73,ModelAnswers!$A$2:$A$176,0)),"")</f>
        <v/>
      </c>
      <c r="G73" s="70" t="inlineStr">
        <is>
          <t>westpac_rollover</t>
        </is>
      </c>
      <c r="H73" s="71">
        <f>IFERROR(INDEX(ModelAnswers!$G$2:$G$176,MATCH($A73,ModelAnswers!$A$2:$A$176,0)),"")</f>
        <v/>
      </c>
      <c r="I73" s="72">
        <f>IF($H73="","",IF(EXACT(TRIM($G73),TRIM($H73)),1,0))</f>
        <v/>
      </c>
      <c r="J73" s="73" t="n">
        <v>3</v>
      </c>
      <c r="K73" s="58" t="inlineStr">
        <is>
          <t>Retrieval: HIT (expected westpac_rollover, got ['westpac_rollover', 'westpac_channels_overview', 'westpac_replacement', 'westpac_drivexpress', 'westpac_exclusions', 'westpac_medical']). Auto-scored via source-hit + gold-number-match + keyword-overlap heuristic (see tests/test_queries.py:score_answer). Human reviewer should verify.</t>
        </is>
      </c>
      <c r="L73" s="58" t="n"/>
      <c r="M73" s="74" t="n"/>
    </row>
    <row r="74" ht="35.05" customHeight="1" s="44">
      <c r="A74" s="56" t="inlineStr">
        <is>
          <t>WBC-23</t>
        </is>
      </c>
      <c r="B74" s="64" t="inlineStr">
        <is>
          <t>Westpac</t>
        </is>
      </c>
      <c r="C74" s="56" t="inlineStr">
        <is>
          <t>PRICING</t>
        </is>
      </c>
      <c r="D74" s="56" t="inlineStr">
        <is>
          <t>Do Westpac's standard rates apply to Xpress (DriveXpress) deals?</t>
        </is>
      </c>
      <c r="E74" s="56" t="inlineStr">
        <is>
          <t>No. The standard Hire Purchase / Commercial Loan / Finance Lease rates explicitly exclude Xpress deals, which are priced from the separate Xpress rate card.</t>
        </is>
      </c>
      <c r="F74" s="69">
        <f>IFERROR(INDEX(ModelAnswers!$F$2:$F$176,MATCH($A74,ModelAnswers!$A$2:$A$176,0)),"")</f>
        <v/>
      </c>
      <c r="G74" s="70" t="inlineStr">
        <is>
          <t>westpac_standard_rates</t>
        </is>
      </c>
      <c r="H74" s="71">
        <f>IFERROR(INDEX(ModelAnswers!$G$2:$G$176,MATCH($A74,ModelAnswers!$A$2:$A$176,0)),"")</f>
        <v/>
      </c>
      <c r="I74" s="72">
        <f>IF($H74="","",IF(EXACT(TRIM($G74),TRIM($H74)),1,0))</f>
        <v/>
      </c>
      <c r="J74" s="73" t="n">
        <v>4</v>
      </c>
      <c r="K74" s="58" t="inlineStr">
        <is>
          <t>Retrieval: HIT (expected westpac_standard_rates, got ['westpac_xpress_rates', 'westpac_standard_rates', 'westpac_drivexpress', 'westpac_exclusions', 'westpac_rollover']). Auto-scored via source-hit + gold-number-match + keyword-overlap heuristic (see tests/test_queries.py:score_answer). Human reviewer should verify.</t>
        </is>
      </c>
      <c r="L74" s="58" t="n"/>
      <c r="M74" s="74" t="n"/>
    </row>
    <row r="75" ht="23.85" customHeight="1" s="44">
      <c r="A75" s="56" t="inlineStr">
        <is>
          <t>WBC-24</t>
        </is>
      </c>
      <c r="B75" s="64" t="inlineStr">
        <is>
          <t>Westpac</t>
        </is>
      </c>
      <c r="C75" s="56" t="inlineStr">
        <is>
          <t>EXCLUSIONS</t>
        </is>
      </c>
      <c r="D75" s="56" t="inlineStr">
        <is>
          <t>Does Westpac finance novated leases?</t>
        </is>
      </c>
      <c r="E75" s="56" t="inlineStr">
        <is>
          <t>No. Novated leases are an excluded loan structure across all Westpac channels.</t>
        </is>
      </c>
      <c r="F75" s="69">
        <f>IFERROR(INDEX(ModelAnswers!$F$2:$F$176,MATCH($A75,ModelAnswers!$A$2:$A$176,0)),"")</f>
        <v/>
      </c>
      <c r="G75" s="70" t="inlineStr">
        <is>
          <t>westpac_exclusions</t>
        </is>
      </c>
      <c r="H75" s="71">
        <f>IFERROR(INDEX(ModelAnswers!$G$2:$G$176,MATCH($A75,ModelAnswers!$A$2:$A$176,0)),"")</f>
        <v/>
      </c>
      <c r="I75" s="72">
        <f>IF($H75="","",IF(EXACT(TRIM($G75),TRIM($H75)),1,0))</f>
        <v/>
      </c>
      <c r="J75" s="73" t="n">
        <v>3</v>
      </c>
      <c r="K75" s="58" t="inlineStr">
        <is>
          <t>Retrieval: HIT (expected westpac_exclusions, got ['westpac_rollover', 'westpac_exclusions', 'westpac_replacement', 'westpac_channels_overview', 'westpac_standard_rates']). Auto-scored via source-hit + gold-number-match + keyword-overlap heuristic (see tests/test_queries.py:score_answer). Human reviewer should verify.</t>
        </is>
      </c>
      <c r="L75" s="58" t="n"/>
      <c r="M75" s="74" t="n"/>
    </row>
    <row r="76" ht="46.25" customHeight="1" s="44">
      <c r="A76" s="56" t="inlineStr">
        <is>
          <t>WBC-25</t>
        </is>
      </c>
      <c r="B76" s="64" t="inlineStr">
        <is>
          <t>Westpac</t>
        </is>
      </c>
      <c r="C76" s="56" t="inlineStr">
        <is>
          <t>SPECIAL_PROGRAMS</t>
        </is>
      </c>
      <c r="D76" s="56" t="inlineStr">
        <is>
          <t>Is a physiotherapist eligible under Westpac's Medical channel?</t>
        </is>
      </c>
      <c r="E76" s="56" t="inlineStr">
        <is>
          <t>Yes. A physiotherapist is an eligible allied health practitioner under Westpac's Medical channel, with limits of under $150k for motor vehicles and equipment and a cumulative cap under $250k.</t>
        </is>
      </c>
      <c r="F76" s="69">
        <f>IFERROR(INDEX(ModelAnswers!$F$2:$F$176,MATCH($A76,ModelAnswers!$A$2:$A$176,0)),"")</f>
        <v/>
      </c>
      <c r="G76" s="70" t="inlineStr">
        <is>
          <t>westpac_medical</t>
        </is>
      </c>
      <c r="H76" s="71">
        <f>IFERROR(INDEX(ModelAnswers!$G$2:$G$176,MATCH($A76,ModelAnswers!$A$2:$A$176,0)),"")</f>
        <v/>
      </c>
      <c r="I76" s="72">
        <f>IF($H76="","",IF(EXACT(TRIM($G76),TRIM($H76)),1,0))</f>
        <v/>
      </c>
      <c r="J76" s="73" t="n">
        <v>2</v>
      </c>
      <c r="K76" s="58" t="inlineStr">
        <is>
          <t>Retrieval: HIT (expected westpac_medical, got ['westpac_medical', 'westpac_channels_overview', 'westpac_replacement', 'westpac_rollover', 'westpac_exclusions']). Auto-scored via source-hit + gold-number-match + keyword-overlap heuristic (see tests/test_queries.py:score_answer). Human reviewer should verify.</t>
        </is>
      </c>
      <c r="L76" s="58" t="n"/>
      <c r="M76" s="74" t="n"/>
    </row>
    <row r="77" ht="46.25" customHeight="1" s="44">
      <c r="A77" s="56" t="inlineStr">
        <is>
          <t>CFA-01</t>
        </is>
      </c>
      <c r="B77" s="65" t="inlineStr">
        <is>
          <t>CFAL</t>
        </is>
      </c>
      <c r="C77" s="56" t="inlineStr">
        <is>
          <t>ELIGIBILITY</t>
        </is>
      </c>
      <c r="D77" s="56" t="inlineStr">
        <is>
          <t>What minimum ABN registration duration does CFAL require, and does it offer consumer loans?</t>
        </is>
      </c>
      <c r="E77" s="56" t="inlineStr">
        <is>
          <t>CFAL requires an ABN registered for at least 2 years and currently GST registered. CFAL finances commercial equipment only — there are no consumer (personal use) products.</t>
        </is>
      </c>
      <c r="F77" s="69">
        <f>IFERROR(INDEX(ModelAnswers!$F$2:$F$176,MATCH($A77,ModelAnswers!$A$2:$A$176,0)),"")</f>
        <v/>
      </c>
      <c r="G77" s="70" t="inlineStr">
        <is>
          <t>cfal_eligibility</t>
        </is>
      </c>
      <c r="H77" s="71">
        <f>IFERROR(INDEX(ModelAnswers!$G$2:$G$176,MATCH($A77,ModelAnswers!$A$2:$A$176,0)),"")</f>
        <v/>
      </c>
      <c r="I77" s="72">
        <f>IF($H77="","",IF(EXACT(TRIM($G77),TRIM($H77)),1,0))</f>
        <v/>
      </c>
      <c r="J77" s="73" t="n">
        <v>4</v>
      </c>
      <c r="K77" s="58" t="inlineStr">
        <is>
          <t>Retrieval: HIT (expected cfal_eligibility, got ['cfal_eligibility', 'cfal_drivexpress_policy', 'cfal_documentation_matrix', 'cfal_rollover_policy', 'cfal_replacement_policy']). Auto-scored via source-hit + gold-number-match + keyword-overlap heuristic (see tests/test_queries.py:score_answer). Human reviewer should verify.</t>
        </is>
      </c>
      <c r="L77" s="58" t="n"/>
      <c r="M77" s="74" t="n"/>
    </row>
    <row r="78" ht="57.45" customHeight="1" s="44">
      <c r="A78" s="56" t="inlineStr">
        <is>
          <t>CFA-02</t>
        </is>
      </c>
      <c r="B78" s="65" t="inlineStr">
        <is>
          <t>CFAL</t>
        </is>
      </c>
      <c r="C78" s="56" t="inlineStr">
        <is>
          <t>DOCUMENTATION</t>
        </is>
      </c>
      <c r="D78" s="56" t="inlineStr">
        <is>
          <t>Does CFAL offer a Low Doc option, and how old can financial statements be?</t>
        </is>
      </c>
      <c r="E78" s="56" t="inlineStr">
        <is>
          <t>No, CFAL has no Low Doc option — documentation scales with transaction size. All financial statements (P&amp;L and balance sheet) must be no more than 18 months old, and are required for all related companies and trusts (consolidated preferred).</t>
        </is>
      </c>
      <c r="F78" s="69">
        <f>IFERROR(INDEX(ModelAnswers!$F$2:$F$176,MATCH($A78,ModelAnswers!$A$2:$A$176,0)),"")</f>
        <v/>
      </c>
      <c r="G78" s="70" t="inlineStr">
        <is>
          <t>cfal_documentation_matrix</t>
        </is>
      </c>
      <c r="H78" s="71">
        <f>IFERROR(INDEX(ModelAnswers!$G$2:$G$176,MATCH($A78,ModelAnswers!$A$2:$A$176,0)),"")</f>
        <v/>
      </c>
      <c r="I78" s="72">
        <f>IF($H78="","",IF(EXACT(TRIM($G78),TRIM($H78)),1,0))</f>
        <v/>
      </c>
      <c r="J78" s="73" t="n">
        <v>4</v>
      </c>
      <c r="K78" s="58" t="inlineStr">
        <is>
          <t>Retrieval: HIT (expected cfal_documentation_matrix, got ['cfal_documentation_matrix', 'cfal_drivexpress_policy', 'cfal_eligibility', 'cfal_replacement_policy', 'cfal_rollover_policy']). Auto-scored via source-hit + gold-number-match + keyword-overlap heuristic (see tests/test_queries.py:score_answer). Human reviewer should verify.</t>
        </is>
      </c>
      <c r="L78" s="58" t="n"/>
      <c r="M78" s="74" t="n"/>
    </row>
    <row r="79" ht="57.45" customHeight="1" s="44">
      <c r="A79" s="56" t="inlineStr">
        <is>
          <t>CFA-03</t>
        </is>
      </c>
      <c r="B79" s="65" t="inlineStr">
        <is>
          <t>CFAL</t>
        </is>
      </c>
      <c r="C79" s="56" t="inlineStr">
        <is>
          <t>ELIGIBILITY</t>
        </is>
      </c>
      <c r="D79" s="56" t="inlineStr">
        <is>
          <t>What is the CFAL DriveXpress limit for a new-to-bank customer, and is this channel shared?</t>
        </is>
      </c>
      <c r="E79" s="56" t="inlineStr">
        <is>
          <t>A new-to-business-bank customer can borrow up to $150k under CFAL's DriveXpress (Categories A, B &amp; C) with property ownership and $75k p.a. income, up to a $250k DriveXpress exposure. CFAL's DriveXpress is the shared Westpac Group fast-track channel.</t>
        </is>
      </c>
      <c r="F79" s="69">
        <f>IFERROR(INDEX(ModelAnswers!$F$2:$F$176,MATCH($A79,ModelAnswers!$A$2:$A$176,0)),"")</f>
        <v/>
      </c>
      <c r="G79" s="70" t="inlineStr">
        <is>
          <t>cfal_drivexpress_policy</t>
        </is>
      </c>
      <c r="H79" s="71">
        <f>IFERROR(INDEX(ModelAnswers!$G$2:$G$176,MATCH($A79,ModelAnswers!$A$2:$A$176,0)),"")</f>
        <v/>
      </c>
      <c r="I79" s="72">
        <f>IF($H79="","",IF(EXACT(TRIM($G79),TRIM($H79)),1,0))</f>
        <v/>
      </c>
      <c r="J79" s="73" t="n">
        <v>2</v>
      </c>
      <c r="K79" s="58" t="inlineStr">
        <is>
          <t>Retrieval: HIT (expected cfal_drivexpress_policy, got ['cfal_drivexpress_policy', 'cfal_replacement_policy', 'cfal_exclusions', 'cfal_rollover_policy', 'cfal_eligibility']). Auto-scored via source-hit + gold-number-match + keyword-overlap heuristic (see tests/test_queries.py:score_answer). Human reviewer should verify.</t>
        </is>
      </c>
      <c r="L79" s="58" t="n"/>
      <c r="M79" s="74" t="n"/>
    </row>
    <row r="80" ht="35.05" customHeight="1" s="44">
      <c r="A80" s="56" t="inlineStr">
        <is>
          <t>CFA-04</t>
        </is>
      </c>
      <c r="B80" s="65" t="inlineStr">
        <is>
          <t>CFAL</t>
        </is>
      </c>
      <c r="C80" s="56" t="inlineStr">
        <is>
          <t>SPECIAL_PROGRAMS</t>
        </is>
      </c>
      <c r="D80" s="56" t="inlineStr">
        <is>
          <t>Under CFAL's Medical channel, what is the cumulative approval cap for an allied health practitioner?</t>
        </is>
      </c>
      <c r="E80" s="56" t="inlineStr">
        <is>
          <t>The maximum cumulative approvals for an allied health practitioner is under $250,000 (versus under $500,000 for a medical specialist/GP/dental/vet). Pharmacists are excluded.</t>
        </is>
      </c>
      <c r="F80" s="69">
        <f>IFERROR(INDEX(ModelAnswers!$F$2:$F$176,MATCH($A80,ModelAnswers!$A$2:$A$176,0)),"")</f>
        <v/>
      </c>
      <c r="G80" s="70" t="inlineStr">
        <is>
          <t>cfal_medical_policy</t>
        </is>
      </c>
      <c r="H80" s="71">
        <f>IFERROR(INDEX(ModelAnswers!$G$2:$G$176,MATCH($A80,ModelAnswers!$A$2:$A$176,0)),"")</f>
        <v/>
      </c>
      <c r="I80" s="72">
        <f>IF($H80="","",IF(EXACT(TRIM($G80),TRIM($H80)),1,0))</f>
        <v/>
      </c>
      <c r="J80" s="73" t="n">
        <v>3</v>
      </c>
      <c r="K80" s="58" t="inlineStr">
        <is>
          <t>Retrieval: HIT (expected cfal_medical_policy, got ['cfal_medical_policy', 'cfal_drivexpress_policy', 'cfal_eligibility', 'cfal_rollover_policy', 'cfal_replacement_policy']). Auto-scored via source-hit + gold-number-match + keyword-overlap heuristic (see tests/test_queries.py:score_answer). Human reviewer should verify.</t>
        </is>
      </c>
      <c r="L80" s="58" t="n"/>
      <c r="M80" s="74" t="n"/>
    </row>
    <row r="81" ht="57.45" customHeight="1" s="44">
      <c r="A81" s="56" t="inlineStr">
        <is>
          <t>CFA-05</t>
        </is>
      </c>
      <c r="B81" s="65" t="inlineStr">
        <is>
          <t>CFAL</t>
        </is>
      </c>
      <c r="C81" s="56" t="inlineStr">
        <is>
          <t>SPECIAL_PROGRAMS</t>
        </is>
      </c>
      <c r="D81" s="56" t="inlineStr">
        <is>
          <t>What is the maximum CFAL Rollover loan when the original funder is another financier?</t>
        </is>
      </c>
      <c r="E81" s="56" t="inlineStr">
        <is>
          <t>When the original funder is another financier (inspection required), the CFAL Rollover maximum is $250k for Category A &amp; B goods. When the original funder is Westpac/CFAL, the maximum is $500k for all categories. New-to-bank clients are not eligible.</t>
        </is>
      </c>
      <c r="F81" s="69">
        <f>IFERROR(INDEX(ModelAnswers!$F$2:$F$176,MATCH($A81,ModelAnswers!$A$2:$A$176,0)),"")</f>
        <v/>
      </c>
      <c r="G81" s="70" t="inlineStr">
        <is>
          <t>cfal_rollover_policy</t>
        </is>
      </c>
      <c r="H81" s="71">
        <f>IFERROR(INDEX(ModelAnswers!$G$2:$G$176,MATCH($A81,ModelAnswers!$A$2:$A$176,0)),"")</f>
        <v/>
      </c>
      <c r="I81" s="72">
        <f>IF($H81="","",IF(EXACT(TRIM($G81),TRIM($H81)),1,0))</f>
        <v/>
      </c>
      <c r="J81" s="73" t="n">
        <v>2</v>
      </c>
      <c r="K81" s="58" t="inlineStr">
        <is>
          <t>Retrieval: HIT (expected cfal_rollover_policy, got ['cfal_rollover_policy', 'cfal_replacement_policy', 'cfal_drivexpress_policy', 'cfal_eligibility', 'cfal_documentation_matrix', 'cfal_medical_policy']). Auto-scored via source-hit + gold-number-match + keyword-overlap heuristic (see tests/test_queries.py:score_answer). Human reviewer should verify.</t>
        </is>
      </c>
      <c r="L81" s="58" t="n"/>
      <c r="M81" s="74" t="n"/>
    </row>
    <row r="82" ht="46.25" customHeight="1" s="44">
      <c r="A82" s="56" t="inlineStr">
        <is>
          <t>CFA-06</t>
        </is>
      </c>
      <c r="B82" s="65" t="inlineStr">
        <is>
          <t>CFAL</t>
        </is>
      </c>
      <c r="C82" s="56" t="inlineStr">
        <is>
          <t>SPECIAL_PROGRAMS</t>
        </is>
      </c>
      <c r="D82" s="56" t="inlineStr">
        <is>
          <t>What is the maximum CFAL Replacement loan for an existing client financing Category B or C goods?</t>
        </is>
      </c>
      <c r="E82" s="56" t="inlineStr">
        <is>
          <t>For an existing client (12 months current WEF history or a finalised EF contract within the last 12 months), the CFAL Replacement maximum is $200k for Category A and $650k for Category B &amp; C.</t>
        </is>
      </c>
      <c r="F82" s="69">
        <f>IFERROR(INDEX(ModelAnswers!$F$2:$F$176,MATCH($A82,ModelAnswers!$A$2:$A$176,0)),"")</f>
        <v/>
      </c>
      <c r="G82" s="70" t="inlineStr">
        <is>
          <t>cfal_replacement_policy</t>
        </is>
      </c>
      <c r="H82" s="71">
        <f>IFERROR(INDEX(ModelAnswers!$G$2:$G$176,MATCH($A82,ModelAnswers!$A$2:$A$176,0)),"")</f>
        <v/>
      </c>
      <c r="I82" s="72">
        <f>IF($H82="","",IF(EXACT(TRIM($G82),TRIM($H82)),1,0))</f>
        <v/>
      </c>
      <c r="J82" s="73" t="n">
        <v>2</v>
      </c>
      <c r="K82" s="58" t="inlineStr">
        <is>
          <t>Retrieval: HIT (expected cfal_replacement_policy, got ['cfal_replacement_policy', 'cfal_rollover_policy', 'cfal_drivexpress_policy', 'cfal_eligibility', 'cfal_documentation_matrix', 'cfal_medical_policy']). Auto-scored via source-hit + gold-number-match + keyword-overlap heuristic (see tests/test_queries.py:score_answer). Human reviewer should verify.</t>
        </is>
      </c>
      <c r="L82" s="58" t="n"/>
      <c r="M82" s="74" t="n"/>
    </row>
    <row r="83" ht="79.84999999999999" customHeight="1" s="44">
      <c r="A83" s="56" t="inlineStr">
        <is>
          <t>CFA-07</t>
        </is>
      </c>
      <c r="B83" s="65" t="inlineStr">
        <is>
          <t>CFAL</t>
        </is>
      </c>
      <c r="C83" s="56" t="inlineStr">
        <is>
          <t>SETTLEMENT</t>
        </is>
      </c>
      <c r="D83" s="56" t="inlineStr">
        <is>
          <t>Under CFAL's updated rules, when is a PPSR company search no longer required?</t>
        </is>
      </c>
      <c r="E83" s="56" t="inlineStr">
        <is>
          <t>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is>
      </c>
      <c r="F83" s="69">
        <f>IFERROR(INDEX(ModelAnswers!$F$2:$F$176,MATCH($A83,ModelAnswers!$A$2:$A$176,0)),"")</f>
        <v/>
      </c>
      <c r="G83" s="70" t="inlineStr">
        <is>
          <t>cfal_settlement</t>
        </is>
      </c>
      <c r="H83" s="71">
        <f>IFERROR(INDEX(ModelAnswers!$G$2:$G$176,MATCH($A83,ModelAnswers!$A$2:$A$176,0)),"")</f>
        <v/>
      </c>
      <c r="I83" s="72">
        <f>IF($H83="","",IF(EXACT(TRIM($G83),TRIM($H83)),1,0))</f>
        <v/>
      </c>
      <c r="J83" s="73" t="n">
        <v>2</v>
      </c>
      <c r="K83" s="58" t="inlineStr">
        <is>
          <t>Retrieval: HIT (expected cfal_settlement, got ['cfal_settlement', 'cfal_replacement_policy', 'cfal_exclusions', 'cfal_eligibility', 'cfal_drivexpress_policy']). Auto-scored via source-hit + gold-number-match + keyword-overlap heuristic (see tests/test_queries.py:score_answer). Human reviewer should verify.</t>
        </is>
      </c>
      <c r="L83" s="58" t="n"/>
      <c r="M83" s="74" t="n"/>
    </row>
    <row r="84" ht="46.25" customHeight="1" s="44">
      <c r="A84" s="56" t="inlineStr">
        <is>
          <t>CFA-08</t>
        </is>
      </c>
      <c r="B84" s="65" t="inlineStr">
        <is>
          <t>CFAL</t>
        </is>
      </c>
      <c r="C84" s="56" t="inlineStr">
        <is>
          <t>EXCLUSIONS</t>
        </is>
      </c>
      <c r="D84" s="56" t="inlineStr">
        <is>
          <t>Can CFAL do a private sale for heavy equipment (Category B)?</t>
        </is>
      </c>
      <c r="E84" s="56" t="inlineStr">
        <is>
          <t>No. CFAL private sales are for motor vehicles and light commercial vehicles under 4.5T GVM only. Private sales are not available for heavy equipment (Category B) or agriculture (Category C).</t>
        </is>
      </c>
      <c r="F84" s="69">
        <f>IFERROR(INDEX(ModelAnswers!$F$2:$F$176,MATCH($A84,ModelAnswers!$A$2:$A$176,0)),"")</f>
        <v/>
      </c>
      <c r="G84" s="70" t="inlineStr">
        <is>
          <t>cfal_exclusions</t>
        </is>
      </c>
      <c r="H84" s="71">
        <f>IFERROR(INDEX(ModelAnswers!$G$2:$G$176,MATCH($A84,ModelAnswers!$A$2:$A$176,0)),"")</f>
        <v/>
      </c>
      <c r="I84" s="72">
        <f>IF($H84="","",IF(EXACT(TRIM($G84),TRIM($H84)),1,0))</f>
        <v/>
      </c>
      <c r="J84" s="73" t="n">
        <v>2</v>
      </c>
      <c r="K84" s="58" t="inlineStr">
        <is>
          <t>Retrieval: HIT (expected cfal_exclusions, got ['cfal_exclusions', 'cfal_replacement_policy', 'cfal_drivexpress_policy', 'cfal_rollover_policy', 'cfal_settlement']). Auto-scored via source-hit + gold-number-match + keyword-overlap heuristic (see tests/test_queries.py:score_answer). Human reviewer should verify.</t>
        </is>
      </c>
      <c r="L84" s="58" t="n"/>
      <c r="M84" s="74" t="n"/>
    </row>
    <row r="85" ht="35.05" customHeight="1" s="44">
      <c r="A85" s="56" t="inlineStr">
        <is>
          <t>CFA-09</t>
        </is>
      </c>
      <c r="B85" s="65" t="inlineStr">
        <is>
          <t>CFAL</t>
        </is>
      </c>
      <c r="C85" s="56" t="inlineStr">
        <is>
          <t>SPECIAL_PROGRAMS</t>
        </is>
      </c>
      <c r="D85" s="56" t="inlineStr">
        <is>
          <t>What loan term is available for government/school/local route buses under CFAL's Replacement Category C?</t>
        </is>
      </c>
      <c r="E85" s="56" t="inlineStr">
        <is>
          <t>Under CFAL Replacement only, government/school/local route buses (excludes charter) up to 5 years old qualify for a loan term of up to 10 years (dealer only).</t>
        </is>
      </c>
      <c r="F85" s="69">
        <f>IFERROR(INDEX(ModelAnswers!$F$2:$F$176,MATCH($A85,ModelAnswers!$A$2:$A$176,0)),"")</f>
        <v/>
      </c>
      <c r="G85" s="70" t="inlineStr">
        <is>
          <t>cfal_replacement_policy</t>
        </is>
      </c>
      <c r="H85" s="71">
        <f>IFERROR(INDEX(ModelAnswers!$G$2:$G$176,MATCH($A85,ModelAnswers!$A$2:$A$176,0)),"")</f>
        <v/>
      </c>
      <c r="I85" s="72">
        <f>IF($H85="","",IF(EXACT(TRIM($G85),TRIM($H85)),1,0))</f>
        <v/>
      </c>
      <c r="J85" s="73" t="n">
        <v>3</v>
      </c>
      <c r="K85" s="58" t="inlineStr">
        <is>
          <t>Retrieval: HIT (expected cfal_replacement_policy, got ['cfal_replacement_policy', 'cfal_exclusions', 'cfal_rollover_policy', 'cfal_drivexpress_policy', 'cfal_settlement']). Auto-scored via source-hit + gold-number-match + keyword-overlap heuristic (see tests/test_queries.py:score_answer). Human reviewer should verify.</t>
        </is>
      </c>
      <c r="L85" s="58" t="n"/>
      <c r="M85" s="74" t="n"/>
    </row>
    <row r="86" ht="57.45" customHeight="1" s="44">
      <c r="A86" s="56" t="inlineStr">
        <is>
          <t>CFA-10</t>
        </is>
      </c>
      <c r="B86" s="65" t="inlineStr">
        <is>
          <t>CFAL</t>
        </is>
      </c>
      <c r="C86" s="56" t="inlineStr">
        <is>
          <t>ELIGIBILITY</t>
        </is>
      </c>
      <c r="D86" s="56" t="inlineStr">
        <is>
          <t>Must all directors guarantee a CFAL loan?</t>
        </is>
      </c>
      <c r="E86" s="56" t="inlineStr">
        <is>
          <t>Yes. All company directors must guarantee the loan, and satisfactory credit bureau reports and ASIC searches are required for all guarantors. All individuals must also provide a signed Privacy Form and current Asset &amp; Liability Statements.</t>
        </is>
      </c>
      <c r="F86" s="69">
        <f>IFERROR(INDEX(ModelAnswers!$F$2:$F$176,MATCH($A86,ModelAnswers!$A$2:$A$176,0)),"")</f>
        <v/>
      </c>
      <c r="G86" s="70" t="inlineStr">
        <is>
          <t>cfal_eligibility</t>
        </is>
      </c>
      <c r="H86" s="71">
        <f>IFERROR(INDEX(ModelAnswers!$G$2:$G$176,MATCH($A86,ModelAnswers!$A$2:$A$176,0)),"")</f>
        <v/>
      </c>
      <c r="I86" s="72">
        <f>IF($H86="","",IF(EXACT(TRIM($G86),TRIM($H86)),1,0))</f>
        <v/>
      </c>
      <c r="J86" s="73" t="n">
        <v>3</v>
      </c>
      <c r="K86" s="58" t="inlineStr">
        <is>
          <t>Retrieval: HIT (expected cfal_eligibility, got ['cfal_eligibility', 'cfal_documentation_matrix', 'cfal_replacement_policy', 'cfal_exclusions', 'cfal_settlement']). Auto-scored via source-hit + gold-number-match + keyword-overlap heuristic (see tests/test_queries.py:score_answer). Human reviewer should verify.</t>
        </is>
      </c>
      <c r="L86" s="58" t="n"/>
      <c r="M86" s="74" t="n"/>
    </row>
    <row r="87" ht="68.65000000000001" customHeight="1" s="44">
      <c r="A87" s="56" t="inlineStr">
        <is>
          <t>CFA-11</t>
        </is>
      </c>
      <c r="B87" s="65" t="inlineStr">
        <is>
          <t>CFAL</t>
        </is>
      </c>
      <c r="C87" s="56" t="inlineStr">
        <is>
          <t>DOCUMENTATION</t>
        </is>
      </c>
      <c r="D87" s="56" t="inlineStr">
        <is>
          <t>For a CFAL transaction above $1m, what additional documents are required beyond the standard set?</t>
        </is>
      </c>
      <c r="E87" s="56" t="inlineStr">
        <is>
          <t>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is>
      </c>
      <c r="F87" s="69">
        <f>IFERROR(INDEX(ModelAnswers!$F$2:$F$176,MATCH($A87,ModelAnswers!$A$2:$A$176,0)),"")</f>
        <v/>
      </c>
      <c r="G87" s="70" t="inlineStr">
        <is>
          <t>cfal_documentation_matrix</t>
        </is>
      </c>
      <c r="H87" s="71">
        <f>IFERROR(INDEX(ModelAnswers!$G$2:$G$176,MATCH($A87,ModelAnswers!$A$2:$A$176,0)),"")</f>
        <v/>
      </c>
      <c r="I87" s="72">
        <f>IF($H87="","",IF(EXACT(TRIM($G87),TRIM($H87)),1,0))</f>
        <v/>
      </c>
      <c r="J87" s="73" t="n">
        <v>4</v>
      </c>
      <c r="K87" s="58" t="inlineStr">
        <is>
          <t>Retrieval: HIT (expected cfal_documentation_matrix, got ['cfal_documentation_matrix', 'cfal_drivexpress_policy', 'cfal_settlement', 'cfal_rollover_policy', 'cfal_replacement_policy']). Auto-scored via source-hit + gold-number-match + keyword-overlap heuristic (see tests/test_queries.py:score_answer). Human reviewer should verify.</t>
        </is>
      </c>
      <c r="L87" s="58" t="n"/>
      <c r="M87" s="74" t="n"/>
    </row>
    <row r="88" ht="35.05" customHeight="1" s="44">
      <c r="A88" s="56" t="inlineStr">
        <is>
          <t>CFA-12</t>
        </is>
      </c>
      <c r="B88" s="65" t="inlineStr">
        <is>
          <t>CFAL</t>
        </is>
      </c>
      <c r="C88" s="56" t="inlineStr">
        <is>
          <t>LOAN_LIMITS</t>
        </is>
      </c>
      <c r="D88" s="56" t="inlineStr">
        <is>
          <t>What are the CFAL DriveXpress limits for an existing client by asset category?</t>
        </is>
      </c>
      <c r="E88" s="56" t="inlineStr">
        <is>
          <t>For an existing client, CFAL DriveXpress limits are $200k for Category A, $300k for Category B, and $500k for Category C, with a maximum DriveXpress exposure of $750k.</t>
        </is>
      </c>
      <c r="F88" s="69">
        <f>IFERROR(INDEX(ModelAnswers!$F$2:$F$176,MATCH($A88,ModelAnswers!$A$2:$A$176,0)),"")</f>
        <v/>
      </c>
      <c r="G88" s="70" t="inlineStr">
        <is>
          <t>cfal_drivexpress_policy</t>
        </is>
      </c>
      <c r="H88" s="71">
        <f>IFERROR(INDEX(ModelAnswers!$G$2:$G$176,MATCH($A88,ModelAnswers!$A$2:$A$176,0)),"")</f>
        <v/>
      </c>
      <c r="I88" s="72">
        <f>IF($H88="","",IF(EXACT(TRIM($G88),TRIM($H88)),1,0))</f>
        <v/>
      </c>
      <c r="J88" s="73" t="n">
        <v>4</v>
      </c>
      <c r="K88" s="58" t="inlineStr">
        <is>
          <t>Retrieval: HIT (expected cfal_drivexpress_policy, got ['cfal_drivexpress_policy', 'cfal_exclusions', 'cfal_replacement_policy', 'cfal_rollover_policy', 'cfal_documentation_matrix']). Auto-scored via source-hit + gold-number-match + keyword-overlap heuristic (see tests/test_queries.py:score_answer). Human reviewer should verify.</t>
        </is>
      </c>
      <c r="L88" s="58" t="n"/>
      <c r="M88" s="74" t="n"/>
    </row>
    <row r="89" ht="35.05" customHeight="1" s="44">
      <c r="A89" s="56" t="inlineStr">
        <is>
          <t>CFA-13</t>
        </is>
      </c>
      <c r="B89" s="65" t="inlineStr">
        <is>
          <t>CFAL</t>
        </is>
      </c>
      <c r="C89" s="56" t="inlineStr">
        <is>
          <t>SPECIAL_PROGRAMS</t>
        </is>
      </c>
      <c r="D89" s="56" t="inlineStr">
        <is>
          <t>What repayment increase does CFAL's Replacement channel allow for an existing customer?</t>
        </is>
      </c>
      <c r="E89" s="56" t="inlineStr">
        <is>
          <t>For an existing customer, monthly repayments must be within 150% of the payment being replaced (125% for new-to-bank customers).</t>
        </is>
      </c>
      <c r="F89" s="69">
        <f>IFERROR(INDEX(ModelAnswers!$F$2:$F$176,MATCH($A89,ModelAnswers!$A$2:$A$176,0)),"")</f>
        <v/>
      </c>
      <c r="G89" s="70" t="inlineStr">
        <is>
          <t>cfal_replacement_policy</t>
        </is>
      </c>
      <c r="H89" s="71">
        <f>IFERROR(INDEX(ModelAnswers!$G$2:$G$176,MATCH($A89,ModelAnswers!$A$2:$A$176,0)),"")</f>
        <v/>
      </c>
      <c r="I89" s="72">
        <f>IF($H89="","",IF(EXACT(TRIM($G89),TRIM($H89)),1,0))</f>
        <v/>
      </c>
      <c r="J89" s="73" t="n">
        <v>3</v>
      </c>
      <c r="K89" s="58" t="inlineStr">
        <is>
          <t>Retrieval: HIT (expected cfal_replacement_policy, got ['cfal_replacement_policy', 'cfal_rollover_policy', 'cfal_drivexpress_policy', 'cfal_eligibility', 'cfal_settlement', 'cfal_medical_policy']). Auto-scored via source-hit + gold-number-match + keyword-overlap heuristic (see tests/test_queries.py:score_answer). Human reviewer should verify.</t>
        </is>
      </c>
      <c r="L89" s="58" t="n"/>
      <c r="M89" s="74" t="n"/>
    </row>
    <row r="90" ht="57.45" customHeight="1" s="44">
      <c r="A90" s="56" t="inlineStr">
        <is>
          <t>CFA-14</t>
        </is>
      </c>
      <c r="B90" s="65" t="inlineStr">
        <is>
          <t>CFAL</t>
        </is>
      </c>
      <c r="C90" s="56" t="inlineStr">
        <is>
          <t>SPECIAL_PROGRAMS</t>
        </is>
      </c>
      <c r="D90" s="56" t="inlineStr">
        <is>
          <t>What are CFAL's Medical channel eligibility conditions for a new client?</t>
        </is>
      </c>
      <c r="E90" s="56" t="inlineStr">
        <is>
          <t>New clients must own residential property and have a minimum annual income of $75k p.a. The borrower/guarantor credit bureau must be satisfactory, the business over 2 years old and GST registered, with statutory obligations up to date. A signed Affordability Declaration is required.</t>
        </is>
      </c>
      <c r="F90" s="69">
        <f>IFERROR(INDEX(ModelAnswers!$F$2:$F$176,MATCH($A90,ModelAnswers!$A$2:$A$176,0)),"")</f>
        <v/>
      </c>
      <c r="G90" s="70" t="inlineStr">
        <is>
          <t>cfal_medical_policy</t>
        </is>
      </c>
      <c r="H90" s="71">
        <f>IFERROR(INDEX(ModelAnswers!$G$2:$G$176,MATCH($A90,ModelAnswers!$A$2:$A$176,0)),"")</f>
        <v/>
      </c>
      <c r="I90" s="72">
        <f>IF($H90="","",IF(EXACT(TRIM($G90),TRIM($H90)),1,0))</f>
        <v/>
      </c>
      <c r="J90" s="73" t="n">
        <v>3</v>
      </c>
      <c r="K90" s="58" t="inlineStr">
        <is>
          <t>Retrieval: HIT (expected cfal_medical_policy, got ['cfal_medical_policy', 'cfal_eligibility', 'cfal_drivexpress_policy', 'cfal_rollover_policy', 'cfal_replacement_policy']). Auto-scored via source-hit + gold-number-match + keyword-overlap heuristic (see tests/test_queries.py:score_answer). Human reviewer should verify.</t>
        </is>
      </c>
      <c r="L90" s="58" t="n"/>
      <c r="M90" s="74" t="n"/>
    </row>
    <row r="91" ht="46.25" customHeight="1" s="44">
      <c r="A91" s="56" t="inlineStr">
        <is>
          <t>CFA-15</t>
        </is>
      </c>
      <c r="B91" s="65" t="inlineStr">
        <is>
          <t>CFAL</t>
        </is>
      </c>
      <c r="C91" s="56" t="inlineStr">
        <is>
          <t>EXCLUSIONS</t>
        </is>
      </c>
      <c r="D91" s="56" t="inlineStr">
        <is>
          <t>What deposit does CFAL require for a non-asset-backed application in a 'Remote' area?</t>
        </is>
      </c>
      <c r="E91" s="56" t="inlineStr">
        <is>
          <t>In areas classified as 'Remote' (per ABS 2021 Remoteness Area classification), non-asset-backed applications require a 20% deposit. Areas classified as 'Very Remote' are not available at all.</t>
        </is>
      </c>
      <c r="F91" s="69">
        <f>IFERROR(INDEX(ModelAnswers!$F$2:$F$176,MATCH($A91,ModelAnswers!$A$2:$A$176,0)),"")</f>
        <v/>
      </c>
      <c r="G91" s="70" t="inlineStr">
        <is>
          <t>cfal_exclusions</t>
        </is>
      </c>
      <c r="H91" s="71">
        <f>IFERROR(INDEX(ModelAnswers!$G$2:$G$176,MATCH($A91,ModelAnswers!$A$2:$A$176,0)),"")</f>
        <v/>
      </c>
      <c r="I91" s="72">
        <f>IF($H91="","",IF(EXACT(TRIM($G91),TRIM($H91)),1,0))</f>
        <v/>
      </c>
      <c r="J91" s="73" t="n">
        <v>3</v>
      </c>
      <c r="K91" s="58" t="inlineStr">
        <is>
          <t>Retrieval: HIT (expected cfal_exclusions, got ['cfal_exclusions', 'cfal_drivexpress_policy', 'cfal_eligibility', 'cfal_settlement', 'cfal_documentation_matrix']). Auto-scored via source-hit + gold-number-match + keyword-overlap heuristic (see tests/test_queries.py:score_answer). Human reviewer should verify.</t>
        </is>
      </c>
      <c r="L91" s="58" t="n"/>
      <c r="M91" s="74" t="n"/>
    </row>
    <row r="92" ht="46.25" customHeight="1" s="44">
      <c r="A92" s="56" t="inlineStr">
        <is>
          <t>CFA-16</t>
        </is>
      </c>
      <c r="B92" s="65" t="inlineStr">
        <is>
          <t>CFAL</t>
        </is>
      </c>
      <c r="C92" s="56" t="inlineStr">
        <is>
          <t>ELIGIBILITY</t>
        </is>
      </c>
      <c r="D92" s="56" t="inlineStr">
        <is>
          <t>Where does CFAL's ATO/statutory compliance requirement come from and what does it require?</t>
        </is>
      </c>
      <c r="E92" s="56" t="inlineStr">
        <is>
          <t>CFAL requires statutory lodgements and payments (tax, GST, employee entitlements) to be up to date with no payment arrangements in place. Where financial data is not obtained, verbal confirmation of compliance is required.</t>
        </is>
      </c>
      <c r="F92" s="69">
        <f>IFERROR(INDEX(ModelAnswers!$F$2:$F$176,MATCH($A92,ModelAnswers!$A$2:$A$176,0)),"")</f>
        <v/>
      </c>
      <c r="G92" s="70" t="inlineStr">
        <is>
          <t>cfal_eligibility</t>
        </is>
      </c>
      <c r="H92" s="71">
        <f>IFERROR(INDEX(ModelAnswers!$G$2:$G$176,MATCH($A92,ModelAnswers!$A$2:$A$176,0)),"")</f>
        <v/>
      </c>
      <c r="I92" s="72">
        <f>IF($H92="","",IF(EXACT(TRIM($G92),TRIM($H92)),1,0))</f>
        <v/>
      </c>
      <c r="J92" s="73" t="n">
        <v>4</v>
      </c>
      <c r="K92" s="58" t="inlineStr">
        <is>
          <t>Retrieval: HIT (expected cfal_eligibility, got ['cfal_eligibility', 'cfal_settlement', 'cfal_documentation_matrix', 'cfal_exclusions', 'cfal_drivexpress_policy']). Auto-scored via source-hit + gold-number-match + keyword-overlap heuristic (see tests/test_queries.py:score_answer). Human reviewer should verify.</t>
        </is>
      </c>
      <c r="L92" s="58" t="n"/>
      <c r="M92" s="74" t="n"/>
    </row>
    <row r="93" ht="68.65000000000001" customHeight="1" s="44">
      <c r="A93" s="56" t="inlineStr">
        <is>
          <t>CFA-17</t>
        </is>
      </c>
      <c r="B93" s="65" t="inlineStr">
        <is>
          <t>CFAL</t>
        </is>
      </c>
      <c r="C93" s="56" t="inlineStr">
        <is>
          <t>DOCUMENTATION</t>
        </is>
      </c>
      <c r="D93" s="56" t="inlineStr">
        <is>
          <t>What documents does CFAL require at the $250k or below transaction band?</t>
        </is>
      </c>
      <c r="E93" s="56" t="inlineStr">
        <is>
          <t>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is>
      </c>
      <c r="F93" s="69">
        <f>IFERROR(INDEX(ModelAnswers!$F$2:$F$176,MATCH($A93,ModelAnswers!$A$2:$A$176,0)),"")</f>
        <v/>
      </c>
      <c r="G93" s="70" t="inlineStr">
        <is>
          <t>cfal_documentation_matrix</t>
        </is>
      </c>
      <c r="H93" s="71">
        <f>IFERROR(INDEX(ModelAnswers!$G$2:$G$176,MATCH($A93,ModelAnswers!$A$2:$A$176,0)),"")</f>
        <v/>
      </c>
      <c r="I93" s="72">
        <f>IF($H93="","",IF(EXACT(TRIM($G93),TRIM($H93)),1,0))</f>
        <v/>
      </c>
      <c r="J93" s="73" t="n">
        <v>4</v>
      </c>
      <c r="K93" s="58" t="inlineStr">
        <is>
          <t>Retrieval: HIT (expected cfal_documentation_matrix, got ['cfal_documentation_matrix', 'cfal_drivexpress_policy', 'cfal_settlement', 'cfal_rollover_policy', 'cfal_eligibility']). Auto-scored via source-hit + gold-number-match + keyword-overlap heuristic (see tests/test_queries.py:score_answer). Human reviewer should verify.</t>
        </is>
      </c>
      <c r="L93" s="58" t="n"/>
      <c r="M93" s="74" t="n"/>
    </row>
    <row r="94" ht="23.85" customHeight="1" s="44">
      <c r="A94" s="56" t="inlineStr">
        <is>
          <t>CFA-18</t>
        </is>
      </c>
      <c r="B94" s="65" t="inlineStr">
        <is>
          <t>CFAL</t>
        </is>
      </c>
      <c r="C94" s="56" t="inlineStr">
        <is>
          <t>ASSET_ELIGIBILITY</t>
        </is>
      </c>
      <c r="D94" s="56" t="inlineStr">
        <is>
          <t>What is the age limit for Category C agricultural equipment under CFAL's DriveXpress?</t>
        </is>
      </c>
      <c r="E94" s="56" t="inlineStr">
        <is>
          <t>Category C agricultural equipment (tractors, headers, harvesters, etc.) is accepted up to 7 years old, dealer only.</t>
        </is>
      </c>
      <c r="F94" s="69">
        <f>IFERROR(INDEX(ModelAnswers!$F$2:$F$176,MATCH($A94,ModelAnswers!$A$2:$A$176,0)),"")</f>
        <v/>
      </c>
      <c r="G94" s="70" t="inlineStr">
        <is>
          <t>cfal_drivexpress_policy</t>
        </is>
      </c>
      <c r="H94" s="71">
        <f>IFERROR(INDEX(ModelAnswers!$G$2:$G$176,MATCH($A94,ModelAnswers!$A$2:$A$176,0)),"")</f>
        <v/>
      </c>
      <c r="I94" s="72">
        <f>IF($H94="","",IF(EXACT(TRIM($G94),TRIM($H94)),1,0))</f>
        <v/>
      </c>
      <c r="J94" s="73" t="n">
        <v>2</v>
      </c>
      <c r="K94" s="58" t="inlineStr">
        <is>
          <t>Retrieval: HIT (expected cfal_drivexpress_policy, got ['cfal_drivexpress_policy', 'cfal_exclusions', 'cfal_replacement_policy', 'cfal_eligibility', 'cfal_documentation_matrix']). Auto-scored via source-hit + gold-number-match + keyword-overlap heuristic (see tests/test_queries.py:score_answer). Human reviewer should verify.</t>
        </is>
      </c>
      <c r="L94" s="58" t="n"/>
      <c r="M94" s="74" t="n"/>
    </row>
    <row r="95" ht="46.25" customHeight="1" s="44">
      <c r="A95" s="56" t="inlineStr">
        <is>
          <t>CFA-19</t>
        </is>
      </c>
      <c r="B95" s="65" t="inlineStr">
        <is>
          <t>CFAL</t>
        </is>
      </c>
      <c r="C95" s="56" t="inlineStr">
        <is>
          <t>SETTLEMENT</t>
        </is>
      </c>
      <c r="D95" s="56" t="inlineStr">
        <is>
          <t>Whose interest must be noted on the insurance for a CFAL-financed asset?</t>
        </is>
      </c>
      <c r="E95" s="56" t="inlineStr">
        <is>
          <t>The asset must be insured with CFAL / Westpac noted as an interested party, and insurance details must be loaded in the system. For assets above $150k a Certificate of Currency is required noting the lender's interest.</t>
        </is>
      </c>
      <c r="F95" s="69">
        <f>IFERROR(INDEX(ModelAnswers!$F$2:$F$176,MATCH($A95,ModelAnswers!$A$2:$A$176,0)),"")</f>
        <v/>
      </c>
      <c r="G95" s="70" t="inlineStr">
        <is>
          <t>cfal_settlement</t>
        </is>
      </c>
      <c r="H95" s="71">
        <f>IFERROR(INDEX(ModelAnswers!$G$2:$G$176,MATCH($A95,ModelAnswers!$A$2:$A$176,0)),"")</f>
        <v/>
      </c>
      <c r="I95" s="72">
        <f>IF($H95="","",IF(EXACT(TRIM($G95),TRIM($H95)),1,0))</f>
        <v/>
      </c>
      <c r="J95" s="73" t="n">
        <v>2</v>
      </c>
      <c r="K95" s="58" t="inlineStr">
        <is>
          <t>Retrieval: HIT (expected cfal_settlement, got ['cfal_eligibility', 'cfal_drivexpress_policy', 'cfal_settlement', 'cfal_exclusions', 'cfal_replacement_policy']). Auto-scored via source-hit + gold-number-match + keyword-overlap heuristic (see tests/test_queries.py:score_answer). Human reviewer should verify.</t>
        </is>
      </c>
      <c r="L95" s="58" t="n"/>
      <c r="M95" s="74" t="n"/>
    </row>
    <row r="96" ht="57.45" customHeight="1" s="44">
      <c r="A96" s="56" t="inlineStr">
        <is>
          <t>CFA-20</t>
        </is>
      </c>
      <c r="B96" s="65" t="inlineStr">
        <is>
          <t>CFAL</t>
        </is>
      </c>
      <c r="C96" s="56" t="inlineStr">
        <is>
          <t>SPECIAL_PROGRAMS</t>
        </is>
      </c>
      <c r="D96" s="56" t="inlineStr">
        <is>
          <t>How long must a contract have been operating to be eligible for CFAL Rollover?</t>
        </is>
      </c>
      <c r="E96" s="56" t="inlineStr">
        <is>
          <t>The contract being rolled must have been operating for more than 12 months. The borrower must also have 12 months current WEF history or a finalised WEF contract within the last 12 months, and the borrower/guarantor and security position must match the original contract.</t>
        </is>
      </c>
      <c r="F96" s="69">
        <f>IFERROR(INDEX(ModelAnswers!$F$2:$F$176,MATCH($A96,ModelAnswers!$A$2:$A$176,0)),"")</f>
        <v/>
      </c>
      <c r="G96" s="70" t="inlineStr">
        <is>
          <t>cfal_rollover_policy</t>
        </is>
      </c>
      <c r="H96" s="71">
        <f>IFERROR(INDEX(ModelAnswers!$G$2:$G$176,MATCH($A96,ModelAnswers!$A$2:$A$176,0)),"")</f>
        <v/>
      </c>
      <c r="I96" s="72">
        <f>IF($H96="","",IF(EXACT(TRIM($G96),TRIM($H96)),1,0))</f>
        <v/>
      </c>
      <c r="J96" s="73" t="n">
        <v>3</v>
      </c>
      <c r="K96" s="58" t="inlineStr">
        <is>
          <t>Retrieval: HIT (expected cfal_rollover_policy, got ['cfal_rollover_policy', 'cfal_replacement_policy', 'cfal_settlement', 'cfal_eligibility', 'cfal_exclusions', 'cfal_drivexpress_policy']). Auto-scored via source-hit + gold-number-match + keyword-overlap heuristic (see tests/test_queries.py:score_answer). Human reviewer should verify.</t>
        </is>
      </c>
      <c r="L96" s="58" t="n"/>
      <c r="M96" s="74" t="n"/>
    </row>
    <row r="97" ht="23.85" customHeight="1" s="44">
      <c r="A97" s="56" t="inlineStr">
        <is>
          <t>CFA-21</t>
        </is>
      </c>
      <c r="B97" s="65" t="inlineStr">
        <is>
          <t>CFAL</t>
        </is>
      </c>
      <c r="C97" s="56" t="inlineStr">
        <is>
          <t>ELIGIBILITY</t>
        </is>
      </c>
      <c r="D97" s="56" t="inlineStr">
        <is>
          <t>Does CFAL publish a public rate card?</t>
        </is>
      </c>
      <c r="E97" s="56" t="inlineStr">
        <is>
          <t>No. CFAL does not publish a public rate card; indicative pricing must be obtained from the CFAL Credit Manager.</t>
        </is>
      </c>
      <c r="F97" s="69">
        <f>IFERROR(INDEX(ModelAnswers!$F$2:$F$176,MATCH($A97,ModelAnswers!$A$2:$A$176,0)),"")</f>
        <v/>
      </c>
      <c r="G97" s="70" t="inlineStr">
        <is>
          <t>cfal_eligibility</t>
        </is>
      </c>
      <c r="H97" s="71">
        <f>IFERROR(INDEX(ModelAnswers!$G$2:$G$176,MATCH($A97,ModelAnswers!$A$2:$A$176,0)),"")</f>
        <v/>
      </c>
      <c r="I97" s="72">
        <f>IF($H97="","",IF(EXACT(TRIM($G97),TRIM($H97)),1,0))</f>
        <v/>
      </c>
      <c r="J97" s="73" t="n">
        <v>3</v>
      </c>
      <c r="K97" s="58" t="inlineStr">
        <is>
          <t>Retrieval: HIT (expected cfal_eligibility, got ['cfal_documentation_matrix', 'cfal_drivexpress_policy', 'cfal_eligibility', 'cfal_replacement_policy', 'cfal_exclusions']). Auto-scored via source-hit + gold-number-match + keyword-overlap heuristic (see tests/test_queries.py:score_answer). Human reviewer should verify.</t>
        </is>
      </c>
      <c r="L97" s="58" t="n"/>
      <c r="M97" s="74" t="n"/>
    </row>
    <row r="98" ht="35.05" customHeight="1" s="44">
      <c r="A98" s="56" t="inlineStr">
        <is>
          <t>CFA-22</t>
        </is>
      </c>
      <c r="B98" s="65" t="inlineStr">
        <is>
          <t>CFAL</t>
        </is>
      </c>
      <c r="C98" s="56" t="inlineStr">
        <is>
          <t>ELIGIBILITY</t>
        </is>
      </c>
      <c r="D98" s="56" t="inlineStr">
        <is>
          <t>Is CFAL's DriveXpress a standalone product unrelated to other lenders?</t>
        </is>
      </c>
      <c r="E98" s="56" t="inlineStr">
        <is>
          <t>No. CFAL's DriveXpress is the fast-track channel shared with the Westpac Group — it mirrors Westpac's DriveXpress structure (Categories A/B/C and the same limits).</t>
        </is>
      </c>
      <c r="F98" s="69">
        <f>IFERROR(INDEX(ModelAnswers!$F$2:$F$176,MATCH($A98,ModelAnswers!$A$2:$A$176,0)),"")</f>
        <v/>
      </c>
      <c r="G98" s="70" t="inlineStr">
        <is>
          <t>cfal_drivexpress_policy</t>
        </is>
      </c>
      <c r="H98" s="71">
        <f>IFERROR(INDEX(ModelAnswers!$G$2:$G$176,MATCH($A98,ModelAnswers!$A$2:$A$176,0)),"")</f>
        <v/>
      </c>
      <c r="I98" s="72">
        <f>IF($H98="","",IF(EXACT(TRIM($G98),TRIM($H98)),1,0))</f>
        <v/>
      </c>
      <c r="J98" s="73" t="n">
        <v>3</v>
      </c>
      <c r="K98" s="58" t="inlineStr">
        <is>
          <t>Retrieval: HIT (expected cfal_drivexpress_policy, got ['cfal_drivexpress_policy', 'cfal_exclusions', 'cfal_replacement_policy', 'cfal_documentation_matrix', 'cfal_eligibility']). Auto-scored via source-hit + gold-number-match + keyword-overlap heuristic (see tests/test_queries.py:score_answer). Human reviewer should verify.</t>
        </is>
      </c>
      <c r="L98" s="58" t="n"/>
      <c r="M98" s="74" t="n"/>
    </row>
    <row r="99" ht="35.05" customHeight="1" s="44">
      <c r="A99" s="56" t="inlineStr">
        <is>
          <t>CFA-23</t>
        </is>
      </c>
      <c r="B99" s="65" t="inlineStr">
        <is>
          <t>CFAL</t>
        </is>
      </c>
      <c r="C99" s="56" t="inlineStr">
        <is>
          <t>EXCLUSIONS</t>
        </is>
      </c>
      <c r="D99" s="56" t="inlineStr">
        <is>
          <t>Does CFAL finance charter buses?</t>
        </is>
      </c>
      <c r="E99" s="56" t="inlineStr">
        <is>
          <t>No. Charter buses are excluded. Only government/school/local route buses are accepted, and only under the Replacement Category C provision.</t>
        </is>
      </c>
      <c r="F99" s="69">
        <f>IFERROR(INDEX(ModelAnswers!$F$2:$F$176,MATCH($A99,ModelAnswers!$A$2:$A$176,0)),"")</f>
        <v/>
      </c>
      <c r="G99" s="70" t="inlineStr">
        <is>
          <t>cfal_exclusions</t>
        </is>
      </c>
      <c r="H99" s="71">
        <f>IFERROR(INDEX(ModelAnswers!$G$2:$G$176,MATCH($A99,ModelAnswers!$A$2:$A$176,0)),"")</f>
        <v/>
      </c>
      <c r="I99" s="72">
        <f>IF($H99="","",IF(EXACT(TRIM($G99),TRIM($H99)),1,0))</f>
        <v/>
      </c>
      <c r="J99" s="73" t="n">
        <v>3</v>
      </c>
      <c r="K99" s="58" t="inlineStr">
        <is>
          <t>Retrieval: HIT (expected cfal_exclusions, got ['cfal_exclusions', 'cfal_replacement_policy', 'cfal_drivexpress_policy', 'cfal_settlement', 'cfal_rollover_policy']). Auto-scored via source-hit + gold-number-match + keyword-overlap heuristic (see tests/test_queries.py:score_answer). Human reviewer should verify.</t>
        </is>
      </c>
      <c r="L99" s="58" t="n"/>
      <c r="M99" s="74" t="n"/>
    </row>
    <row r="100" ht="23.85" customHeight="1" s="44">
      <c r="A100" s="56" t="inlineStr">
        <is>
          <t>CFA-24</t>
        </is>
      </c>
      <c r="B100" s="65" t="inlineStr">
        <is>
          <t>CFAL</t>
        </is>
      </c>
      <c r="C100" s="56" t="inlineStr">
        <is>
          <t>SPECIAL_PROGRAMS</t>
        </is>
      </c>
      <c r="D100" s="56" t="inlineStr">
        <is>
          <t>Are pharmacists eligible under CFAL's Medical channel?</t>
        </is>
      </c>
      <c r="E100" s="56" t="inlineStr">
        <is>
          <t>No. Pharmacists are explicitly excluded from CFAL's Medical channel.</t>
        </is>
      </c>
      <c r="F100" s="69">
        <f>IFERROR(INDEX(ModelAnswers!$F$2:$F$176,MATCH($A100,ModelAnswers!$A$2:$A$176,0)),"")</f>
        <v/>
      </c>
      <c r="G100" s="70" t="inlineStr">
        <is>
          <t>cfal_medical_policy</t>
        </is>
      </c>
      <c r="H100" s="71">
        <f>IFERROR(INDEX(ModelAnswers!$G$2:$G$176,MATCH($A100,ModelAnswers!$A$2:$A$176,0)),"")</f>
        <v/>
      </c>
      <c r="I100" s="72">
        <f>IF($H100="","",IF(EXACT(TRIM($G100),TRIM($H100)),1,0))</f>
        <v/>
      </c>
      <c r="J100" s="73" t="n">
        <v>4</v>
      </c>
      <c r="K100" s="58" t="inlineStr">
        <is>
          <t>Retrieval: HIT (expected cfal_medical_policy, got ['cfal_medical_policy', 'cfal_eligibility', 'cfal_rollover_policy', 'cfal_replacement_policy', 'cfal_exclusions']). Auto-scored via source-hit + gold-number-match + keyword-overlap heuristic (see tests/test_queries.py:score_answer). Human reviewer should verify.</t>
        </is>
      </c>
      <c r="L100" s="58" t="n"/>
      <c r="M100" s="74" t="n"/>
    </row>
    <row r="101" ht="35.05" customHeight="1" s="44">
      <c r="A101" s="56" t="inlineStr">
        <is>
          <t>CFA-25</t>
        </is>
      </c>
      <c r="B101" s="65" t="inlineStr">
        <is>
          <t>CFAL</t>
        </is>
      </c>
      <c r="C101" s="56" t="inlineStr">
        <is>
          <t>DOCUMENTATION</t>
        </is>
      </c>
      <c r="D101" s="56" t="inlineStr">
        <is>
          <t>Does CFAL have a Low Doc fast-approval documentation option for large transactions?</t>
        </is>
      </c>
      <c r="E101" s="56" t="inlineStr">
        <is>
          <t>No. CFAL has no Low Doc option; documentation requirements scale up with transaction size, and full financial statements are required at every band.</t>
        </is>
      </c>
      <c r="F101" s="69">
        <f>IFERROR(INDEX(ModelAnswers!$F$2:$F$176,MATCH($A101,ModelAnswers!$A$2:$A$176,0)),"")</f>
        <v/>
      </c>
      <c r="G101" s="70" t="inlineStr">
        <is>
          <t>cfal_documentation_matrix</t>
        </is>
      </c>
      <c r="H101" s="71">
        <f>IFERROR(INDEX(ModelAnswers!$G$2:$G$176,MATCH($A101,ModelAnswers!$A$2:$A$176,0)),"")</f>
        <v/>
      </c>
      <c r="I101" s="72">
        <f>IF($H101="","",IF(EXACT(TRIM($G101),TRIM($H101)),1,0))</f>
        <v/>
      </c>
      <c r="J101" s="73" t="n">
        <v>4</v>
      </c>
      <c r="K101" s="58" t="inlineStr">
        <is>
          <t>Retrieval: HIT (expected cfal_documentation_matrix, got ['cfal_documentation_matrix', 'cfal_drivexpress_policy', 'cfal_replacement_policy', 'cfal_eligibility', 'cfal_settlement']). Auto-scored via source-hit + gold-number-match + keyword-overlap heuristic (see tests/test_queries.py:score_answer). Human reviewer should verify.</t>
        </is>
      </c>
      <c r="L101" s="58" t="n"/>
      <c r="M101" s="74" t="n"/>
    </row>
    <row r="102" ht="91" customHeight="1" s="44">
      <c r="A102" s="56" t="inlineStr">
        <is>
          <t>ANG-01</t>
        </is>
      </c>
      <c r="B102" s="66" t="inlineStr">
        <is>
          <t>Angle</t>
        </is>
      </c>
      <c r="C102" s="56" t="inlineStr">
        <is>
          <t>SPECIAL_PROGRAMS</t>
        </is>
      </c>
      <c r="D102" s="56" t="inlineStr">
        <is>
          <t>What are the qualifying criteria for Angle's $400k Low Doc program?</t>
        </is>
      </c>
      <c r="E102" s="56" t="inlineStr">
        <is>
          <t>Angle's $400k Low Doc requires 3+ years ABN &amp; GST registered, a credit score of 600+ (Corporate &amp; Individual, Veda 1.1), a minimum 12-month Asset Finance Credit Reference from Angle or a Tier 1/Tier 2 provider, a max transaction size of $400k, property backing (spousal property accepted), asset types Primary &amp; Secondary, max EOT of Primary 25 years and Secondary 15 years, and ATO Portals for $250k+.</t>
        </is>
      </c>
      <c r="F102" s="69">
        <f>IFERROR(INDEX(ModelAnswers!$F$2:$F$176,MATCH($A102,ModelAnswers!$A$2:$A$176,0)),"")</f>
        <v/>
      </c>
      <c r="G102" s="70" t="inlineStr">
        <is>
          <t>angle_400k_low_doc</t>
        </is>
      </c>
      <c r="H102" s="71">
        <f>IFERROR(INDEX(ModelAnswers!$G$2:$G$176,MATCH($A102,ModelAnswers!$A$2:$A$176,0)),"")</f>
        <v/>
      </c>
      <c r="I102" s="72">
        <f>IF($H102="","",IF(EXACT(TRIM($G102),TRIM($H102)),1,0))</f>
        <v/>
      </c>
      <c r="J102" s="73" t="n">
        <v>3</v>
      </c>
      <c r="K102" s="58" t="inlineStr">
        <is>
          <t>Retrieval: HIT (expected angle_400k_low_doc, got ['angle_400k_low_doc', 'angle_doc_types', 'angle_prime_movers', 'angle_start_up', 'angle_exclusions', 'angle_property_and_deposits']). Auto-scored via source-hit + gold-number-match + keyword-overlap heuristic (see tests/test_queries.py:score_answer). Human reviewer should verify.</t>
        </is>
      </c>
      <c r="L102" s="58" t="n"/>
      <c r="M102" s="74" t="n"/>
    </row>
    <row r="103" ht="23.85" customHeight="1" s="44">
      <c r="A103" s="56" t="inlineStr">
        <is>
          <t>ANG-02</t>
        </is>
      </c>
      <c r="B103" s="66" t="inlineStr">
        <is>
          <t>Angle</t>
        </is>
      </c>
      <c r="C103" s="56" t="inlineStr">
        <is>
          <t>EXCLUSIONS</t>
        </is>
      </c>
      <c r="D103" s="56" t="inlineStr">
        <is>
          <t>Which applicants and assets are excluded from Angle's $400k Low Doc program?</t>
        </is>
      </c>
      <c r="E103" s="56" t="inlineStr">
        <is>
          <t>The $400k Low Doc program excludes sole traders, tertiary assets, prime movers, and buses.</t>
        </is>
      </c>
      <c r="F103" s="69">
        <f>IFERROR(INDEX(ModelAnswers!$F$2:$F$176,MATCH($A103,ModelAnswers!$A$2:$A$176,0)),"")</f>
        <v/>
      </c>
      <c r="G103" s="70" t="inlineStr">
        <is>
          <t>angle_400k_low_doc</t>
        </is>
      </c>
      <c r="H103" s="71">
        <f>IFERROR(INDEX(ModelAnswers!$G$2:$G$176,MATCH($A103,ModelAnswers!$A$2:$A$176,0)),"")</f>
        <v/>
      </c>
      <c r="I103" s="72">
        <f>IF($H103="","",IF(EXACT(TRIM($G103),TRIM($H103)),1,0))</f>
        <v/>
      </c>
      <c r="J103" s="73" t="n">
        <v>4</v>
      </c>
      <c r="K103" s="58" t="inlineStr">
        <is>
          <t>Retrieval: HIT (expected angle_400k_low_doc, got ['angle_400k_low_doc', 'angle_exclusions', 'angle_doc_types', 'angle_prime_movers', 'angle_start_up']). Auto-scored via source-hit + gold-number-match + keyword-overlap heuristic (see tests/test_queries.py:score_answer). Human reviewer should verify.</t>
        </is>
      </c>
      <c r="L103" s="58" t="n"/>
      <c r="M103" s="74" t="n"/>
    </row>
    <row r="104" ht="57.45" customHeight="1" s="44">
      <c r="A104" s="56" t="inlineStr">
        <is>
          <t>ANG-03</t>
        </is>
      </c>
      <c r="B104" s="66" t="inlineStr">
        <is>
          <t>Angle</t>
        </is>
      </c>
      <c r="C104" s="56" t="inlineStr">
        <is>
          <t>SPECIAL_PROGRAMS</t>
        </is>
      </c>
      <c r="D104" s="56" t="inlineStr">
        <is>
          <t>What is the maximum loan and deposit under Angle's Start-Up product?</t>
        </is>
      </c>
      <c r="E104" s="56" t="inlineStr">
        <is>
          <t>Angle's Start-Up product allows loans to a maximum of $150,000 (including brokerage), with a 20% deposit required on all applications. The business must be operating a minimum of 3 months and actively trading, with previous industry experience required.</t>
        </is>
      </c>
      <c r="F104" s="69">
        <f>IFERROR(INDEX(ModelAnswers!$F$2:$F$176,MATCH($A104,ModelAnswers!$A$2:$A$176,0)),"")</f>
        <v/>
      </c>
      <c r="G104" s="70" t="inlineStr">
        <is>
          <t>angle_start_up</t>
        </is>
      </c>
      <c r="H104" s="71">
        <f>IFERROR(INDEX(ModelAnswers!$G$2:$G$176,MATCH($A104,ModelAnswers!$A$2:$A$176,0)),"")</f>
        <v/>
      </c>
      <c r="I104" s="72">
        <f>IF($H104="","",IF(EXACT(TRIM($G104),TRIM($H104)),1,0))</f>
        <v/>
      </c>
      <c r="J104" s="73" t="n">
        <v>3</v>
      </c>
      <c r="K104" s="58" t="inlineStr">
        <is>
          <t>Retrieval: HIT (expected angle_start_up, got ['angle_start_up', 'angle_fees_brokerage', 'angle_loan_structure', 'angle_exclusions', 'angle_interest_rates']). Auto-scored via source-hit + gold-number-match + keyword-overlap heuristic (see tests/test_queries.py:score_answer). Human reviewer should verify.</t>
        </is>
      </c>
      <c r="L104" s="58" t="n"/>
      <c r="M104" s="74" t="n"/>
    </row>
    <row r="105" ht="57.45" customHeight="1" s="44">
      <c r="A105" s="56" t="inlineStr">
        <is>
          <t>ANG-04</t>
        </is>
      </c>
      <c r="B105" s="66" t="inlineStr">
        <is>
          <t>Angle</t>
        </is>
      </c>
      <c r="C105" s="56" t="inlineStr">
        <is>
          <t>SPECIAL_PROGRAMS</t>
        </is>
      </c>
      <c r="D105" s="56" t="inlineStr">
        <is>
          <t>What entity types qualify for Angle's Prime Movers product, and is Low Doc available?</t>
        </is>
      </c>
      <c r="E105" s="56" t="inlineStr">
        <is>
          <t>Prime Movers is restricted to Company &amp; Trust only — no sole traders or individual partnerships. Low Doc is not an option for prime movers, because bank statements or financials plus ATO portals are required; they can be done under Mid Doc or Full Doc only.</t>
        </is>
      </c>
      <c r="F105" s="69">
        <f>IFERROR(INDEX(ModelAnswers!$F$2:$F$176,MATCH($A105,ModelAnswers!$A$2:$A$176,0)),"")</f>
        <v/>
      </c>
      <c r="G105" s="70" t="inlineStr">
        <is>
          <t>angle_prime_movers</t>
        </is>
      </c>
      <c r="H105" s="71">
        <f>IFERROR(INDEX(ModelAnswers!$G$2:$G$176,MATCH($A105,ModelAnswers!$A$2:$A$176,0)),"")</f>
        <v/>
      </c>
      <c r="I105" s="72">
        <f>IF($H105="","",IF(EXACT(TRIM($G105),TRIM($H105)),1,0))</f>
        <v/>
      </c>
      <c r="J105" s="73" t="n">
        <v>4</v>
      </c>
      <c r="K105" s="58" t="inlineStr">
        <is>
          <t>Retrieval: HIT (expected angle_prime_movers, got ['angle_prime_movers', 'angle_400k_low_doc', 'angle_doc_types', 'angle_exclusions', 'angle_interest_rates', 'angle_property_and_deposits']). Auto-scored via source-hit + gold-number-match + keyword-overlap heuristic (see tests/test_queries.py:score_answer). Human reviewer should verify.</t>
        </is>
      </c>
      <c r="L105" s="58" t="n"/>
      <c r="M105" s="74" t="n"/>
    </row>
    <row r="106" ht="35.05" customHeight="1" s="44">
      <c r="A106" s="56" t="inlineStr">
        <is>
          <t>ANG-05</t>
        </is>
      </c>
      <c r="B106" s="66" t="inlineStr">
        <is>
          <t>Angle</t>
        </is>
      </c>
      <c r="C106" s="56" t="inlineStr">
        <is>
          <t>ELIGIBILITY</t>
        </is>
      </c>
      <c r="D106" s="56" t="inlineStr">
        <is>
          <t>Does Angle accept spousal property, and what deposit do non-property owners pay?</t>
        </is>
      </c>
      <c r="E106" s="56" t="inlineStr">
        <is>
          <t>Yes — spousal property is accepted as asset backed, supported by a marriage certificate, Medicare card or joint utility bill. Non-property owners require a 20% deposit.</t>
        </is>
      </c>
      <c r="F106" s="69">
        <f>IFERROR(INDEX(ModelAnswers!$F$2:$F$176,MATCH($A106,ModelAnswers!$A$2:$A$176,0)),"")</f>
        <v/>
      </c>
      <c r="G106" s="70" t="inlineStr">
        <is>
          <t>angle_property_and_deposits</t>
        </is>
      </c>
      <c r="H106" s="71">
        <f>IFERROR(INDEX(ModelAnswers!$G$2:$G$176,MATCH($A106,ModelAnswers!$A$2:$A$176,0)),"")</f>
        <v/>
      </c>
      <c r="I106" s="72">
        <f>IF($H106="","",IF(EXACT(TRIM($G106),TRIM($H106)),1,0))</f>
        <v/>
      </c>
      <c r="J106" s="73" t="n">
        <v>4</v>
      </c>
      <c r="K106" s="58" t="inlineStr">
        <is>
          <t>Retrieval: HIT (expected angle_property_and_deposits, got ['angle_property_and_deposits', 'angle_exclusions', 'angle_interest_rates', 'angle_settlement', 'angle_start_up']). Auto-scored via source-hit + gold-number-match + keyword-overlap heuristic (see tests/test_queries.py:score_answer). Human reviewer should verify.</t>
        </is>
      </c>
      <c r="L106" s="58" t="n"/>
      <c r="M106" s="74" t="n"/>
    </row>
    <row r="107" ht="68.65000000000001" customHeight="1" s="44">
      <c r="A107" s="56" t="inlineStr">
        <is>
          <t>ANG-06</t>
        </is>
      </c>
      <c r="B107" s="66" t="inlineStr">
        <is>
          <t>Angle</t>
        </is>
      </c>
      <c r="C107" s="56" t="inlineStr">
        <is>
          <t>FEES</t>
        </is>
      </c>
      <c r="D107" s="56" t="inlineStr">
        <is>
          <t>What is Angle's establishment fee and maximum brokerage?</t>
        </is>
      </c>
      <c r="E107" s="56" t="inlineStr">
        <is>
          <t>Angle's establishment fee (dealer or private sale) is $649, financed into the loan or direct debit at settlement. The account keeping fee is $4.95 monthly or $1 weekly. Maximum brokerage is up to 8% (incl GST), and there is no rate loading for commission up to 8%. An origination fee of up to $1,400 (incl GST) may be capitalised within the loan.</t>
        </is>
      </c>
      <c r="F107" s="69">
        <f>IFERROR(INDEX(ModelAnswers!$F$2:$F$176,MATCH($A107,ModelAnswers!$A$2:$A$176,0)),"")</f>
        <v/>
      </c>
      <c r="G107" s="70" t="inlineStr">
        <is>
          <t>angle_fees_brokerage</t>
        </is>
      </c>
      <c r="H107" s="71">
        <f>IFERROR(INDEX(ModelAnswers!$G$2:$G$176,MATCH($A107,ModelAnswers!$A$2:$A$176,0)),"")</f>
        <v/>
      </c>
      <c r="I107" s="72">
        <f>IF($H107="","",IF(EXACT(TRIM($G107),TRIM($H107)),1,0))</f>
        <v/>
      </c>
      <c r="J107" s="73" t="n">
        <v>2</v>
      </c>
      <c r="K107" s="58" t="inlineStr">
        <is>
          <t>Retrieval: HIT (expected angle_fees_brokerage, got ['angle_fees_brokerage', 'angle_start_up', 'angle_interest_rates', 'angle_loan_structure', 'angle_exclusions']). Auto-scored via source-hit + gold-number-match + keyword-overlap heuristic (see tests/test_queries.py:score_answer). Human reviewer should verify.</t>
        </is>
      </c>
      <c r="L107" s="58" t="n"/>
      <c r="M107" s="74" t="n"/>
    </row>
    <row r="108" ht="57.45" customHeight="1" s="44">
      <c r="A108" s="56" t="inlineStr">
        <is>
          <t>ANG-07</t>
        </is>
      </c>
      <c r="B108" s="66" t="inlineStr">
        <is>
          <t>Angle</t>
        </is>
      </c>
      <c r="C108" s="56" t="inlineStr">
        <is>
          <t>LOAN_LIMITS</t>
        </is>
      </c>
      <c r="D108" s="56" t="inlineStr">
        <is>
          <t>How does a customer's credit score determine total exposure at Angle?</t>
        </is>
      </c>
      <c r="E108" s="56" t="inlineStr">
        <is>
          <t>At Angle, credit score determines total exposure: a score of 500 allows under $150,000; 550 allows under $250,000; and 650 allows over $250,000. Large ticket deals over $500,000+ have credit score flexibility — scores under 650 can be considered with financial assessment.</t>
        </is>
      </c>
      <c r="F108" s="69">
        <f>IFERROR(INDEX(ModelAnswers!$F$2:$F$176,MATCH($A108,ModelAnswers!$A$2:$A$176,0)),"")</f>
        <v/>
      </c>
      <c r="G108" s="70" t="inlineStr">
        <is>
          <t>angle_loan_structure</t>
        </is>
      </c>
      <c r="H108" s="71">
        <f>IFERROR(INDEX(ModelAnswers!$G$2:$G$176,MATCH($A108,ModelAnswers!$A$2:$A$176,0)),"")</f>
        <v/>
      </c>
      <c r="I108" s="72">
        <f>IF($H108="","",IF(EXACT(TRIM($G108),TRIM($H108)),1,0))</f>
        <v/>
      </c>
      <c r="J108" s="73" t="n">
        <v>4</v>
      </c>
      <c r="K108" s="58" t="inlineStr">
        <is>
          <t>Retrieval: HIT (expected angle_loan_structure, got ['angle_loan_structure', 'angle_start_up', 'angle_exclusions', 'angle_doc_types', 'angle_fees_brokerage', 'angle_property_and_deposits']). Auto-scored via source-hit + gold-number-match + keyword-overlap heuristic (see tests/test_queries.py:score_answer). Human reviewer should verify.</t>
        </is>
      </c>
      <c r="L108" s="58" t="n"/>
      <c r="M108" s="74" t="n"/>
    </row>
    <row r="109" ht="57.45" customHeight="1" s="44">
      <c r="A109" s="56" t="inlineStr">
        <is>
          <t>ANG-08</t>
        </is>
      </c>
      <c r="B109" s="66" t="inlineStr">
        <is>
          <t>Angle</t>
        </is>
      </c>
      <c r="C109" s="56" t="inlineStr">
        <is>
          <t>EXCLUSIONS</t>
        </is>
      </c>
      <c r="D109" s="56" t="inlineStr">
        <is>
          <t>Does Angle finance taxi or Uber drivers?</t>
        </is>
      </c>
      <c r="E109" s="56" t="inlineStr">
        <is>
          <t>No. Taxi &amp; Uber drivers are on Angle's not-accepted applicants list. Angle also declines applicants with credit scores below 500, financial defaults on credit files (except telco or utilities paid up to $2,500), and credit files under 12 months old.</t>
        </is>
      </c>
      <c r="F109" s="69">
        <f>IFERROR(INDEX(ModelAnswers!$F$2:$F$176,MATCH($A109,ModelAnswers!$A$2:$A$176,0)),"")</f>
        <v/>
      </c>
      <c r="G109" s="70" t="inlineStr">
        <is>
          <t>angle_exclusions</t>
        </is>
      </c>
      <c r="H109" s="71">
        <f>IFERROR(INDEX(ModelAnswers!$G$2:$G$176,MATCH($A109,ModelAnswers!$A$2:$A$176,0)),"")</f>
        <v/>
      </c>
      <c r="I109" s="72">
        <f>IF($H109="","",IF(EXACT(TRIM($G109),TRIM($H109)),1,0))</f>
        <v/>
      </c>
      <c r="J109" s="73" t="n">
        <v>2</v>
      </c>
      <c r="K109" s="58" t="inlineStr">
        <is>
          <t>Retrieval: HIT (expected angle_exclusions, got ['angle_exclusions', 'angle_400k_low_doc', 'angle_start_up', 'angle_fees_brokerage', 'angle_prime_movers']). Auto-scored via source-hit + gold-number-match + keyword-overlap heuristic (see tests/test_queries.py:score_answer). Human reviewer should verify.</t>
        </is>
      </c>
      <c r="L109" s="58" t="n"/>
      <c r="M109" s="74" t="n"/>
    </row>
    <row r="110" ht="68.65000000000001" customHeight="1" s="44">
      <c r="A110" s="56" t="inlineStr">
        <is>
          <t>ANG-09</t>
        </is>
      </c>
      <c r="B110" s="66" t="inlineStr">
        <is>
          <t>Angle</t>
        </is>
      </c>
      <c r="C110" s="56" t="inlineStr">
        <is>
          <t>SETTLEMENT</t>
        </is>
      </c>
      <c r="D110" s="56" t="inlineStr">
        <is>
          <t>When does Angle require a Certificate of Currency, and how are private sales inspected?</t>
        </is>
      </c>
      <c r="E110" s="56" t="inlineStr">
        <is>
          <t>Angle requires a Certificate of Currency for assets over $100k. Private sales require inspection via Verimoto, Redbook, Olasio or a broker inspection, and must have current and active registration. Angle conducts a satisfactory PPSR, and all existing PPSR encumbrances on used cars must be removed prior to settlement.</t>
        </is>
      </c>
      <c r="F110" s="69">
        <f>IFERROR(INDEX(ModelAnswers!$F$2:$F$176,MATCH($A110,ModelAnswers!$A$2:$A$176,0)),"")</f>
        <v/>
      </c>
      <c r="G110" s="70" t="inlineStr">
        <is>
          <t>angle_settlement</t>
        </is>
      </c>
      <c r="H110" s="71">
        <f>IFERROR(INDEX(ModelAnswers!$G$2:$G$176,MATCH($A110,ModelAnswers!$A$2:$A$176,0)),"")</f>
        <v/>
      </c>
      <c r="I110" s="72">
        <f>IF($H110="","",IF(EXACT(TRIM($G110),TRIM($H110)),1,0))</f>
        <v/>
      </c>
      <c r="J110" s="73" t="n">
        <v>4</v>
      </c>
      <c r="K110" s="58" t="inlineStr">
        <is>
          <t>Retrieval: HIT (expected angle_settlement, got ['angle_settlement', 'angle_property_and_deposits', 'angle_start_up', 'angle_fees_brokerage', 'angle_doc_types']). Auto-scored via source-hit + gold-number-match + keyword-overlap heuristic (see tests/test_queries.py:score_answer). Human reviewer should verify.</t>
        </is>
      </c>
      <c r="L110" s="58" t="n"/>
      <c r="M110" s="74" t="n"/>
    </row>
    <row r="111" ht="35.05" customHeight="1" s="44">
      <c r="A111" s="56" t="inlineStr">
        <is>
          <t>ANG-10</t>
        </is>
      </c>
      <c r="B111" s="66" t="inlineStr">
        <is>
          <t>Angle</t>
        </is>
      </c>
      <c r="C111" s="56" t="inlineStr">
        <is>
          <t>LOAN_LIMITS</t>
        </is>
      </c>
      <c r="D111" s="56" t="inlineStr">
        <is>
          <t>What is the maximum balloon on an Angle loan over a 60-month term?</t>
        </is>
      </c>
      <c r="E111" s="56" t="inlineStr">
        <is>
          <t>The maximum balloon on a 60-month Angle loan is 30% (it is 40% at both 36 and 48 months). Assets at EOT 25 years (primary) and EOT 15 years (secondary) are 0% balloon only.</t>
        </is>
      </c>
      <c r="F111" s="69">
        <f>IFERROR(INDEX(ModelAnswers!$F$2:$F$176,MATCH($A111,ModelAnswers!$A$2:$A$176,0)),"")</f>
        <v/>
      </c>
      <c r="G111" s="70" t="inlineStr">
        <is>
          <t>angle_loan_structure</t>
        </is>
      </c>
      <c r="H111" s="71">
        <f>IFERROR(INDEX(ModelAnswers!$G$2:$G$176,MATCH($A111,ModelAnswers!$A$2:$A$176,0)),"")</f>
        <v/>
      </c>
      <c r="I111" s="72">
        <f>IF($H111="","",IF(EXACT(TRIM($G111),TRIM($H111)),1,0))</f>
        <v/>
      </c>
      <c r="J111" s="73" t="n">
        <v>2</v>
      </c>
      <c r="K111" s="58" t="inlineStr">
        <is>
          <t>Retrieval: HIT (expected angle_loan_structure, got ['angle_loan_structure', 'angle_start_up', 'angle_interest_rates', 'angle_fees_brokerage', 'angle_property_and_deposits']). Auto-scored via source-hit + gold-number-match + keyword-overlap heuristic (see tests/test_queries.py:score_answer). Human reviewer should verify.</t>
        </is>
      </c>
      <c r="L111" s="58" t="n"/>
      <c r="M111" s="74" t="n"/>
    </row>
    <row r="112" ht="79.84999999999999" customHeight="1" s="44">
      <c r="A112" s="56" t="inlineStr">
        <is>
          <t>ANG-11</t>
        </is>
      </c>
      <c r="B112" s="66" t="inlineStr">
        <is>
          <t>Angle</t>
        </is>
      </c>
      <c r="C112" s="56" t="inlineStr">
        <is>
          <t>DOCUMENTATION</t>
        </is>
      </c>
      <c r="D112" s="56" t="inlineStr">
        <is>
          <t>What credit score does Angle require for Mid Doc, and what bank statements are needed?</t>
        </is>
      </c>
      <c r="E112" s="56" t="inlineStr">
        <is>
          <t>Angle's Mid Doc (under $500k) requires a credit score of 650+ (Individual &amp; Corporate, Veda 1:1). It requires 6 months bank statements showing no dishonoured payments for financial obligations, a maximum of 1 non-financial dishonour, average monthly revenue of $20,000 across the 6-month period, and an average running balance of at least 10% of monthly revenue. ATO Portals are required for $250k+.</t>
        </is>
      </c>
      <c r="F112" s="69">
        <f>IFERROR(INDEX(ModelAnswers!$F$2:$F$176,MATCH($A112,ModelAnswers!$A$2:$A$176,0)),"")</f>
        <v/>
      </c>
      <c r="G112" s="70" t="inlineStr">
        <is>
          <t>angle_doc_types</t>
        </is>
      </c>
      <c r="H112" s="71">
        <f>IFERROR(INDEX(ModelAnswers!$G$2:$G$176,MATCH($A112,ModelAnswers!$A$2:$A$176,0)),"")</f>
        <v/>
      </c>
      <c r="I112" s="72">
        <f>IF($H112="","",IF(EXACT(TRIM($G112),TRIM($H112)),1,0))</f>
        <v/>
      </c>
      <c r="J112" s="73" t="n">
        <v>3</v>
      </c>
      <c r="K112" s="58" t="inlineStr">
        <is>
          <t>Retrieval: HIT (expected angle_doc_types, got ['angle_doc_types', 'angle_400k_low_doc', 'angle_start_up', 'angle_exclusions', 'angle_prime_movers', 'angle_property_and_deposits']). Auto-scored via source-hit + gold-number-match + keyword-overlap heuristic (see tests/test_queries.py:score_answer). Human reviewer should verify.</t>
        </is>
      </c>
      <c r="L112" s="58" t="n"/>
      <c r="M112" s="74" t="n"/>
    </row>
    <row r="113" ht="46.25" customHeight="1" s="44">
      <c r="A113" s="56" t="inlineStr">
        <is>
          <t>ANG-12</t>
        </is>
      </c>
      <c r="B113" s="66" t="inlineStr">
        <is>
          <t>Angle</t>
        </is>
      </c>
      <c r="C113" s="56" t="inlineStr">
        <is>
          <t>PRICING</t>
        </is>
      </c>
      <c r="D113" s="56" t="inlineStr">
        <is>
          <t>What is Angle's headline rate for an 8+ year ABN, 4+ year GST customer buying primary assets?</t>
        </is>
      </c>
      <c r="E113" s="56" t="inlineStr">
        <is>
          <t>For a customer with 8+ year ABN and 4+ year GST buying primary assets (new assets, YOM 2023) with a strong credit score, the rate is 7.79% property backed and 8.79% non-property backed.</t>
        </is>
      </c>
      <c r="F113" s="69">
        <f>IFERROR(INDEX(ModelAnswers!$F$2:$F$176,MATCH($A113,ModelAnswers!$A$2:$A$176,0)),"")</f>
        <v/>
      </c>
      <c r="G113" s="70" t="inlineStr">
        <is>
          <t>angle_interest_rates</t>
        </is>
      </c>
      <c r="H113" s="71">
        <f>IFERROR(INDEX(ModelAnswers!$G$2:$G$176,MATCH($A113,ModelAnswers!$A$2:$A$176,0)),"")</f>
        <v/>
      </c>
      <c r="I113" s="72">
        <f>IF($H113="","",IF(EXACT(TRIM($G113),TRIM($H113)),1,0))</f>
        <v/>
      </c>
      <c r="J113" s="73" t="n">
        <v>3</v>
      </c>
      <c r="K113" s="58" t="inlineStr">
        <is>
          <t>Retrieval: HIT (expected angle_interest_rates, got ['angle_interest_rates', 'angle_start_up', 'angle_fees_brokerage', 'angle_loan_structure', 'angle_400k_low_doc', 'angle_property_and_deposits']). Auto-scored via source-hit + gold-number-match + keyword-overlap heuristic (see tests/test_queries.py:score_answer). Human reviewer should verify.</t>
        </is>
      </c>
      <c r="L113" s="58" t="n"/>
      <c r="M113" s="74" t="n"/>
    </row>
    <row r="114" ht="68.65000000000001" customHeight="1" s="44">
      <c r="A114" s="56" t="inlineStr">
        <is>
          <t>ANG-13</t>
        </is>
      </c>
      <c r="B114" s="66" t="inlineStr">
        <is>
          <t>Angle</t>
        </is>
      </c>
      <c r="C114" s="56" t="inlineStr">
        <is>
          <t>SPECIAL_PROGRAMS</t>
        </is>
      </c>
      <c r="D114" s="56" t="inlineStr">
        <is>
          <t>What ABN age and credit score does Angle require for Prime Movers, and what loading applies?</t>
        </is>
      </c>
      <c r="E114" s="56" t="inlineStr">
        <is>
          <t>Prime Movers requires a minimum 5 years ABN &amp; GST (business continuity), a strong credit score of 600+, property backing (spousal accepted), and a comparable asset finance credit reference. A 1% rate loading applies to standard primary asset rates. Maximum asset age is up to EOT 20 years.</t>
        </is>
      </c>
      <c r="F114" s="69">
        <f>IFERROR(INDEX(ModelAnswers!$F$2:$F$176,MATCH($A114,ModelAnswers!$A$2:$A$176,0)),"")</f>
        <v/>
      </c>
      <c r="G114" s="70" t="inlineStr">
        <is>
          <t>angle_prime_movers</t>
        </is>
      </c>
      <c r="H114" s="71">
        <f>IFERROR(INDEX(ModelAnswers!$G$2:$G$176,MATCH($A114,ModelAnswers!$A$2:$A$176,0)),"")</f>
        <v/>
      </c>
      <c r="I114" s="72">
        <f>IF($H114="","",IF(EXACT(TRIM($G114),TRIM($H114)),1,0))</f>
        <v/>
      </c>
      <c r="J114" s="73" t="n">
        <v>3</v>
      </c>
      <c r="K114" s="58" t="inlineStr">
        <is>
          <t>Retrieval: HIT (expected angle_prime_movers, got ['angle_prime_movers', 'angle_interest_rates', 'angle_start_up', 'angle_400k_low_doc', 'angle_exclusions', 'angle_property_and_deposits']). Auto-scored via source-hit + gold-number-match + keyword-overlap heuristic (see tests/test_queries.py:score_answer). Human reviewer should verify.</t>
        </is>
      </c>
      <c r="L114" s="58" t="n"/>
      <c r="M114" s="74" t="n"/>
    </row>
    <row r="115" ht="79.84999999999999" customHeight="1" s="44">
      <c r="A115" s="56" t="inlineStr">
        <is>
          <t>ANG-14</t>
        </is>
      </c>
      <c r="B115" s="66" t="inlineStr">
        <is>
          <t>Angle</t>
        </is>
      </c>
      <c r="C115" s="56" t="inlineStr">
        <is>
          <t>SPECIAL_PROGRAMS</t>
        </is>
      </c>
      <c r="D115" s="56" t="inlineStr">
        <is>
          <t>What bank statement history does Angle's Start-Up product require?</t>
        </is>
      </c>
      <c r="E115" s="56" t="inlineStr">
        <is>
          <t>Start-Up requires a minimum of 6 months bank statements, unless the ABN has been trading for less than 6 months. The statements must demonstrate serviceability, show clean conduct with no overdraws, dishonours, debt collection payments, superannuation withdrawals or ATO payment arrangements, and support an average bank balance over the last 3 months of at least 10%–20% of the loan amount.</t>
        </is>
      </c>
      <c r="F115" s="69">
        <f>IFERROR(INDEX(ModelAnswers!$F$2:$F$176,MATCH($A115,ModelAnswers!$A$2:$A$176,0)),"")</f>
        <v/>
      </c>
      <c r="G115" s="70" t="inlineStr">
        <is>
          <t>angle_start_up</t>
        </is>
      </c>
      <c r="H115" s="71">
        <f>IFERROR(INDEX(ModelAnswers!$G$2:$G$176,MATCH($A115,ModelAnswers!$A$2:$A$176,0)),"")</f>
        <v/>
      </c>
      <c r="I115" s="72">
        <f>IF($H115="","",IF(EXACT(TRIM($G115),TRIM($H115)),1,0))</f>
        <v/>
      </c>
      <c r="J115" s="73" t="n">
        <v>2</v>
      </c>
      <c r="K115" s="58" t="inlineStr">
        <is>
          <t>Retrieval: HIT (expected angle_start_up, got ['angle_start_up', 'angle_property_and_deposits', 'angle_settlement', 'angle_exclusions', 'angle_400k_low_doc']). Auto-scored via source-hit + gold-number-match + keyword-overlap heuristic (see tests/test_queries.py:score_answer). Human reviewer should verify.</t>
        </is>
      </c>
      <c r="L115" s="58" t="n"/>
      <c r="M115" s="74" t="n"/>
    </row>
    <row r="116" ht="68.65000000000001" customHeight="1" s="44">
      <c r="A116" s="56" t="inlineStr">
        <is>
          <t>ANG-15</t>
        </is>
      </c>
      <c r="B116" s="66" t="inlineStr">
        <is>
          <t>Angle</t>
        </is>
      </c>
      <c r="C116" s="56" t="inlineStr">
        <is>
          <t>DOCUMENTATION</t>
        </is>
      </c>
      <c r="D116" s="56" t="inlineStr">
        <is>
          <t>What does Angle's Full Doc require for a transaction over $1 million?</t>
        </is>
      </c>
      <c r="E116" s="56" t="inlineStr">
        <is>
          <t>For transactions over $1 million, Angle's Full Doc requires FY2024 + FY2023 accountant-prepared financials only, a Commitment Schedule, current ATO portal statements (last 12 months good payment history), a detailed business background plus list of major clients, an Aged Debtor + Creditor listing, and cashflow projections (if available).</t>
        </is>
      </c>
      <c r="F116" s="69">
        <f>IFERROR(INDEX(ModelAnswers!$F$2:$F$176,MATCH($A116,ModelAnswers!$A$2:$A$176,0)),"")</f>
        <v/>
      </c>
      <c r="G116" s="70" t="inlineStr">
        <is>
          <t>angle_doc_types</t>
        </is>
      </c>
      <c r="H116" s="71">
        <f>IFERROR(INDEX(ModelAnswers!$G$2:$G$176,MATCH($A116,ModelAnswers!$A$2:$A$176,0)),"")</f>
        <v/>
      </c>
      <c r="I116" s="72">
        <f>IF($H116="","",IF(EXACT(TRIM($G116),TRIM($H116)),1,0))</f>
        <v/>
      </c>
      <c r="J116" s="73" t="n">
        <v>4</v>
      </c>
      <c r="K116" s="58" t="inlineStr">
        <is>
          <t>Retrieval: HIT (expected angle_doc_types, got ['angle_doc_types', 'angle_settlement', 'angle_400k_low_doc', 'angle_property_and_deposits', 'angle_start_up']). Auto-scored via source-hit + gold-number-match + keyword-overlap heuristic (see tests/test_queries.py:score_answer). Human reviewer should verify.</t>
        </is>
      </c>
      <c r="L116" s="58" t="n"/>
      <c r="M116" s="74" t="n"/>
    </row>
    <row r="117" ht="46.25" customHeight="1" s="44">
      <c r="A117" s="56" t="inlineStr">
        <is>
          <t>ANG-16</t>
        </is>
      </c>
      <c r="B117" s="66" t="inlineStr">
        <is>
          <t>Angle</t>
        </is>
      </c>
      <c r="C117" s="56" t="inlineStr">
        <is>
          <t>LOAN_LIMITS</t>
        </is>
      </c>
      <c r="D117" s="56" t="inlineStr">
        <is>
          <t>What is the maximum loan term Angle offers on a primary motor vehicle?</t>
        </is>
      </c>
      <c r="E117" s="56" t="inlineStr">
        <is>
          <t>Angle offers up to 84 months on a primary motor vehicle (36–84 months). A 1% rate loading is applicable for terms over 60 months, and the customer must be property backed to qualify.</t>
        </is>
      </c>
      <c r="F117" s="69">
        <f>IFERROR(INDEX(ModelAnswers!$F$2:$F$176,MATCH($A117,ModelAnswers!$A$2:$A$176,0)),"")</f>
        <v/>
      </c>
      <c r="G117" s="70" t="inlineStr">
        <is>
          <t>angle_loan_structure</t>
        </is>
      </c>
      <c r="H117" s="71">
        <f>IFERROR(INDEX(ModelAnswers!$G$2:$G$176,MATCH($A117,ModelAnswers!$A$2:$A$176,0)),"")</f>
        <v/>
      </c>
      <c r="I117" s="72">
        <f>IF($H117="","",IF(EXACT(TRIM($G117),TRIM($H117)),1,0))</f>
        <v/>
      </c>
      <c r="J117" s="73" t="n">
        <v>3</v>
      </c>
      <c r="K117" s="58" t="inlineStr">
        <is>
          <t>Retrieval: HIT (expected angle_loan_structure, got ['angle_loan_structure', 'angle_interest_rates', 'angle_fees_brokerage', 'angle_start_up', 'angle_prime_movers']). Auto-scored via source-hit + gold-number-match + keyword-overlap heuristic (see tests/test_queries.py:score_answer). Human reviewer should verify.</t>
        </is>
      </c>
      <c r="L117" s="58" t="n"/>
      <c r="M117" s="74" t="n"/>
    </row>
    <row r="118" ht="35.05" customHeight="1" s="44">
      <c r="A118" s="56" t="inlineStr">
        <is>
          <t>ANG-17</t>
        </is>
      </c>
      <c r="B118" s="66" t="inlineStr">
        <is>
          <t>Angle</t>
        </is>
      </c>
      <c r="C118" s="56" t="inlineStr">
        <is>
          <t>PRICING</t>
        </is>
      </c>
      <c r="D118" s="56" t="inlineStr">
        <is>
          <t>What is Angle's rate for a prime mover?</t>
        </is>
      </c>
      <c r="E118" s="56" t="inlineStr">
        <is>
          <t>Angle's Prime Movers start from 9.39% per the rate card (the prime movers flyer cites 8.99%). A 1% rate loading applies to standard primary asset rates.</t>
        </is>
      </c>
      <c r="F118" s="69">
        <f>IFERROR(INDEX(ModelAnswers!$F$2:$F$176,MATCH($A118,ModelAnswers!$A$2:$A$176,0)),"")</f>
        <v/>
      </c>
      <c r="G118" s="70" t="inlineStr">
        <is>
          <t>angle_interest_rates</t>
        </is>
      </c>
      <c r="H118" s="71">
        <f>IFERROR(INDEX(ModelAnswers!$G$2:$G$176,MATCH($A118,ModelAnswers!$A$2:$A$176,0)),"")</f>
        <v/>
      </c>
      <c r="I118" s="72">
        <f>IF($H118="","",IF(EXACT(TRIM($G118),TRIM($H118)),1,0))</f>
        <v/>
      </c>
      <c r="J118" s="73" t="n">
        <v>4</v>
      </c>
      <c r="K118" s="58" t="inlineStr">
        <is>
          <t>Retrieval: HIT (expected angle_interest_rates, got ['angle_interest_rates', 'angle_prime_movers', 'angle_fees_brokerage', 'angle_exclusions', 'angle_400k_low_doc']). Auto-scored via source-hit + gold-number-match + keyword-overlap heuristic (see tests/test_queries.py:score_answer). Human reviewer should verify.</t>
        </is>
      </c>
      <c r="L118" s="58" t="n"/>
      <c r="M118" s="74" t="n"/>
    </row>
    <row r="119" ht="46.25" customHeight="1" s="44">
      <c r="A119" s="56" t="inlineStr">
        <is>
          <t>ANG-18</t>
        </is>
      </c>
      <c r="B119" s="66" t="inlineStr">
        <is>
          <t>Angle</t>
        </is>
      </c>
      <c r="C119" s="56" t="inlineStr">
        <is>
          <t>DOCUMENTATION</t>
        </is>
      </c>
      <c r="D119" s="56" t="inlineStr">
        <is>
          <t>What is the maximum motor vehicle finance amount under Angle's Low Doc?</t>
        </is>
      </c>
      <c r="E119" s="56" t="inlineStr">
        <is>
          <t>Under Low Doc, motor vehicles are capped at $100k for exposures under $100k, and $200k for exposures of $100k–$250k. The motor vehicle maximum asset price is $250k. Mid Doc allows motor vehicles up to $250k.</t>
        </is>
      </c>
      <c r="F119" s="69">
        <f>IFERROR(INDEX(ModelAnswers!$F$2:$F$176,MATCH($A119,ModelAnswers!$A$2:$A$176,0)),"")</f>
        <v/>
      </c>
      <c r="G119" s="70" t="inlineStr">
        <is>
          <t>angle_doc_types</t>
        </is>
      </c>
      <c r="H119" s="71">
        <f>IFERROR(INDEX(ModelAnswers!$G$2:$G$176,MATCH($A119,ModelAnswers!$A$2:$A$176,0)),"")</f>
        <v/>
      </c>
      <c r="I119" s="72">
        <f>IF($H119="","",IF(EXACT(TRIM($G119),TRIM($H119)),1,0))</f>
        <v/>
      </c>
      <c r="J119" s="73" t="n">
        <v>2</v>
      </c>
      <c r="K119" s="58" t="inlineStr">
        <is>
          <t>Retrieval: HIT (expected angle_doc_types, got ['angle_400k_low_doc', 'angle_doc_types', 'angle_prime_movers', 'angle_exclusions', 'angle_fees_brokerage']). Auto-scored via source-hit + gold-number-match + keyword-overlap heuristic (see tests/test_queries.py:score_answer). Human reviewer should verify.</t>
        </is>
      </c>
      <c r="L119" s="58" t="n"/>
      <c r="M119" s="74" t="n"/>
    </row>
    <row r="120" ht="46.25" customHeight="1" s="44">
      <c r="A120" s="56" t="inlineStr">
        <is>
          <t>ANG-19</t>
        </is>
      </c>
      <c r="B120" s="66" t="inlineStr">
        <is>
          <t>Angle</t>
        </is>
      </c>
      <c r="C120" s="56" t="inlineStr">
        <is>
          <t>ELIGIBILITY</t>
        </is>
      </c>
      <c r="D120" s="56" t="inlineStr">
        <is>
          <t>What proof of property ownership does Angle require?</t>
        </is>
      </c>
      <c r="E120" s="56" t="inlineStr">
        <is>
          <t>Angle requires a rates notice for proof of property ownership, dated within the last 3 months or provided alongside a recent utility bill. Spousal property requires a marriage certificate, Medicare card or joint utility bill as evidence of relationship.</t>
        </is>
      </c>
      <c r="F120" s="69">
        <f>IFERROR(INDEX(ModelAnswers!$F$2:$F$176,MATCH($A120,ModelAnswers!$A$2:$A$176,0)),"")</f>
        <v/>
      </c>
      <c r="G120" s="70" t="inlineStr">
        <is>
          <t>angle_property_and_deposits</t>
        </is>
      </c>
      <c r="H120" s="71">
        <f>IFERROR(INDEX(ModelAnswers!$G$2:$G$176,MATCH($A120,ModelAnswers!$A$2:$A$176,0)),"")</f>
        <v/>
      </c>
      <c r="I120" s="72">
        <f>IF($H120="","",IF(EXACT(TRIM($G120),TRIM($H120)),1,0))</f>
        <v/>
      </c>
      <c r="J120" s="73" t="n">
        <v>4</v>
      </c>
      <c r="K120" s="58" t="inlineStr">
        <is>
          <t>Retrieval: HIT (expected angle_property_and_deposits, got ['angle_property_and_deposits', 'angle_settlement', 'angle_loan_structure', 'angle_start_up', 'angle_doc_types']). Auto-scored via source-hit + gold-number-match + keyword-overlap heuristic (see tests/test_queries.py:score_answer). Human reviewer should verify.</t>
        </is>
      </c>
      <c r="L120" s="58" t="n"/>
      <c r="M120" s="74" t="n"/>
    </row>
    <row r="121" ht="35.05" customHeight="1" s="44">
      <c r="A121" s="56" t="inlineStr">
        <is>
          <t>ANG-20</t>
        </is>
      </c>
      <c r="B121" s="66" t="inlineStr">
        <is>
          <t>Angle</t>
        </is>
      </c>
      <c r="C121" s="56" t="inlineStr">
        <is>
          <t>EXCLUSIONS</t>
        </is>
      </c>
      <c r="D121" s="56" t="inlineStr">
        <is>
          <t>Can an applicant with a paid financial default get finance from Angle?</t>
        </is>
      </c>
      <c r="E121" s="56" t="inlineStr">
        <is>
          <t>No. Financial defaults on credit files — whether paid or unpaid — are not accepted, with the only exception being telco or utility defaults paid up to $2,500.</t>
        </is>
      </c>
      <c r="F121" s="69">
        <f>IFERROR(INDEX(ModelAnswers!$F$2:$F$176,MATCH($A121,ModelAnswers!$A$2:$A$176,0)),"")</f>
        <v/>
      </c>
      <c r="G121" s="70" t="inlineStr">
        <is>
          <t>angle_exclusions</t>
        </is>
      </c>
      <c r="H121" s="71">
        <f>IFERROR(INDEX(ModelAnswers!$G$2:$G$176,MATCH($A121,ModelAnswers!$A$2:$A$176,0)),"")</f>
        <v/>
      </c>
      <c r="I121" s="72">
        <f>IF($H121="","",IF(EXACT(TRIM($G121),TRIM($H121)),1,0))</f>
        <v/>
      </c>
      <c r="J121" s="73" t="n">
        <v>3</v>
      </c>
      <c r="K121" s="58" t="inlineStr">
        <is>
          <t>Retrieval: HIT (expected angle_exclusions, got ['angle_start_up', 'angle_exclusions', 'angle_loan_structure', 'angle_property_and_deposits', 'angle_400k_low_doc']). Auto-scored via source-hit + gold-number-match + keyword-overlap heuristic (see tests/test_queries.py:score_answer). Human reviewer should verify.</t>
        </is>
      </c>
      <c r="L121" s="58" t="n"/>
      <c r="M121" s="74" t="n"/>
    </row>
    <row r="122" ht="46.25" customHeight="1" s="44">
      <c r="A122" s="56" t="inlineStr">
        <is>
          <t>ANG-21</t>
        </is>
      </c>
      <c r="B122" s="66" t="inlineStr">
        <is>
          <t>Angle</t>
        </is>
      </c>
      <c r="C122" s="56" t="inlineStr">
        <is>
          <t>SPECIAL_PROGRAMS</t>
        </is>
      </c>
      <c r="D122" s="56" t="inlineStr">
        <is>
          <t>Can a business with an ABN under 2 years get finance from Angle?</t>
        </is>
      </c>
      <c r="E122" s="56" t="inlineStr">
        <is>
          <t>Yes. Angle's Start-Up product is designed for new business owners with an ABN under 2 years, provided the business has been operating a minimum of 3 months and actively trading, with a 20% deposit and 550+ credit score.</t>
        </is>
      </c>
      <c r="F122" s="69">
        <f>IFERROR(INDEX(ModelAnswers!$F$2:$F$176,MATCH($A122,ModelAnswers!$A$2:$A$176,0)),"")</f>
        <v/>
      </c>
      <c r="G122" s="70" t="inlineStr">
        <is>
          <t>angle_start_up</t>
        </is>
      </c>
      <c r="H122" s="71">
        <f>IFERROR(INDEX(ModelAnswers!$G$2:$G$176,MATCH($A122,ModelAnswers!$A$2:$A$176,0)),"")</f>
        <v/>
      </c>
      <c r="I122" s="72">
        <f>IF($H122="","",IF(EXACT(TRIM($G122),TRIM($H122)),1,0))</f>
        <v/>
      </c>
      <c r="J122" s="73" t="n">
        <v>2</v>
      </c>
      <c r="K122" s="58" t="inlineStr">
        <is>
          <t>Retrieval: HIT (expected angle_start_up, got ['angle_start_up', 'angle_loan_structure', 'angle_400k_low_doc', 'angle_prime_movers', 'angle_property_and_deposits']). Auto-scored via source-hit + gold-number-match + keyword-overlap heuristic (see tests/test_queries.py:score_answer). Human reviewer should verify.</t>
        </is>
      </c>
      <c r="L122" s="58" t="n"/>
      <c r="M122" s="74" t="n"/>
    </row>
    <row r="123" ht="35.05" customHeight="1" s="44">
      <c r="A123" s="56" t="inlineStr">
        <is>
          <t>ANG-22</t>
        </is>
      </c>
      <c r="B123" s="66" t="inlineStr">
        <is>
          <t>Angle</t>
        </is>
      </c>
      <c r="C123" s="56" t="inlineStr">
        <is>
          <t>SPECIAL_PROGRAMS</t>
        </is>
      </c>
      <c r="D123" s="56" t="inlineStr">
        <is>
          <t>Can a sole trader finance a prime mover with Angle?</t>
        </is>
      </c>
      <c r="E123" s="56" t="inlineStr">
        <is>
          <t>No. Angle's Prime Movers product is Company &amp; Trust only — sole traders and individual partnerships are explicitly excluded.</t>
        </is>
      </c>
      <c r="F123" s="69">
        <f>IFERROR(INDEX(ModelAnswers!$F$2:$F$176,MATCH($A123,ModelAnswers!$A$2:$A$176,0)),"")</f>
        <v/>
      </c>
      <c r="G123" s="70" t="inlineStr">
        <is>
          <t>angle_prime_movers</t>
        </is>
      </c>
      <c r="H123" s="71">
        <f>IFERROR(INDEX(ModelAnswers!$G$2:$G$176,MATCH($A123,ModelAnswers!$A$2:$A$176,0)),"")</f>
        <v/>
      </c>
      <c r="I123" s="72">
        <f>IF($H123="","",IF(EXACT(TRIM($G123),TRIM($H123)),1,0))</f>
        <v/>
      </c>
      <c r="J123" s="73" t="n">
        <v>4</v>
      </c>
      <c r="K123" s="58" t="inlineStr">
        <is>
          <t>Retrieval: HIT (expected angle_prime_movers, got ['angle_prime_movers', 'angle_interest_rates', 'angle_exclusions', 'angle_settlement', 'angle_start_up']). Auto-scored via source-hit + gold-number-match + keyword-overlap heuristic (see tests/test_queries.py:score_answer). Human reviewer should verify.</t>
        </is>
      </c>
      <c r="L123" s="58" t="n"/>
      <c r="M123" s="74" t="n"/>
    </row>
    <row r="124" ht="46.25" customHeight="1" s="44">
      <c r="A124" s="56" t="inlineStr">
        <is>
          <t>ANG-23</t>
        </is>
      </c>
      <c r="B124" s="66" t="inlineStr">
        <is>
          <t>Angle</t>
        </is>
      </c>
      <c r="C124" s="56" t="inlineStr">
        <is>
          <t>SPECIAL_PROGRAMS</t>
        </is>
      </c>
      <c r="D124" s="56" t="inlineStr">
        <is>
          <t>Can a mortgage statement in a spouse's name be used as a credit reference at Angle?</t>
        </is>
      </c>
      <c r="E124" s="56" t="inlineStr">
        <is>
          <t>No. Mortgage statements must be in the applicant's name — spouse's mortgage statements are not accepted. The loan must have been running 6+ months with no missed repayments.</t>
        </is>
      </c>
      <c r="F124" s="69">
        <f>IFERROR(INDEX(ModelAnswers!$F$2:$F$176,MATCH($A124,ModelAnswers!$A$2:$A$176,0)),"")</f>
        <v/>
      </c>
      <c r="G124" s="70" t="inlineStr">
        <is>
          <t>angle_400k_low_doc</t>
        </is>
      </c>
      <c r="H124" s="71">
        <f>IFERROR(INDEX(ModelAnswers!$G$2:$G$176,MATCH($A124,ModelAnswers!$A$2:$A$176,0)),"")</f>
        <v/>
      </c>
      <c r="I124" s="72">
        <f>IF($H124="","",IF(EXACT(TRIM($G124),TRIM($H124)),1,0))</f>
        <v/>
      </c>
      <c r="J124" s="73" t="n">
        <v>2</v>
      </c>
      <c r="K124" s="58" t="inlineStr">
        <is>
          <t>Retrieval: HIT (expected angle_400k_low_doc, got ['angle_property_and_deposits', 'angle_loan_structure', 'angle_400k_low_doc', 'angle_doc_types', 'angle_start_up']). Auto-scored via source-hit + gold-number-match + keyword-overlap heuristic (see tests/test_queries.py:score_answer). Human reviewer should verify.</t>
        </is>
      </c>
      <c r="L124" s="58" t="n"/>
      <c r="M124" s="74" t="n"/>
    </row>
    <row r="125" ht="35.05" customHeight="1" s="44">
      <c r="A125" s="56" t="inlineStr">
        <is>
          <t>ANG-24</t>
        </is>
      </c>
      <c r="B125" s="66" t="inlineStr">
        <is>
          <t>Angle</t>
        </is>
      </c>
      <c r="C125" s="56" t="inlineStr">
        <is>
          <t>FEES</t>
        </is>
      </c>
      <c r="D125" s="56" t="inlineStr">
        <is>
          <t>Does Angle charge a rate loading for brokerage?</t>
        </is>
      </c>
      <c r="E125" s="56" t="inlineStr">
        <is>
          <t>No. Angle applies no rate loading for commission up to 8%. Private sales, business continuity and property in a spouse's name also attract no rate loading.</t>
        </is>
      </c>
      <c r="F125" s="69">
        <f>IFERROR(INDEX(ModelAnswers!$F$2:$F$176,MATCH($A125,ModelAnswers!$A$2:$A$176,0)),"")</f>
        <v/>
      </c>
      <c r="G125" s="70" t="inlineStr">
        <is>
          <t>angle_fees_brokerage</t>
        </is>
      </c>
      <c r="H125" s="71">
        <f>IFERROR(INDEX(ModelAnswers!$G$2:$G$176,MATCH($A125,ModelAnswers!$A$2:$A$176,0)),"")</f>
        <v/>
      </c>
      <c r="I125" s="72">
        <f>IF($H125="","",IF(EXACT(TRIM($G125),TRIM($H125)),1,0))</f>
        <v/>
      </c>
      <c r="J125" s="73" t="n">
        <v>2</v>
      </c>
      <c r="K125" s="58" t="inlineStr">
        <is>
          <t>Retrieval: HIT (expected angle_fees_brokerage, got ['angle_interest_rates', 'angle_fees_brokerage', 'angle_loan_structure', 'angle_start_up', 'angle_prime_movers']). Auto-scored via source-hit + gold-number-match + keyword-overlap heuristic (see tests/test_queries.py:score_answer). Human reviewer should verify.</t>
        </is>
      </c>
      <c r="L125" s="58" t="n"/>
      <c r="M125" s="74" t="n"/>
    </row>
    <row r="126" ht="35.05" customHeight="1" s="44">
      <c r="A126" s="56" t="inlineStr">
        <is>
          <t>ANG-25</t>
        </is>
      </c>
      <c r="B126" s="66" t="inlineStr">
        <is>
          <t>Angle</t>
        </is>
      </c>
      <c r="C126" s="56" t="inlineStr">
        <is>
          <t>PRICING</t>
        </is>
      </c>
      <c r="D126" s="56" t="inlineStr">
        <is>
          <t>Does Angle apply a rate loading to private sales?</t>
        </is>
      </c>
      <c r="E126" s="56" t="inlineStr">
        <is>
          <t>No. Angle explicitly applies no rate loading for private sales. The prime movers product also confirms there is no rate loading for private sales.</t>
        </is>
      </c>
      <c r="F126" s="69">
        <f>IFERROR(INDEX(ModelAnswers!$F$2:$F$176,MATCH($A126,ModelAnswers!$A$2:$A$176,0)),"")</f>
        <v/>
      </c>
      <c r="G126" s="70" t="inlineStr">
        <is>
          <t>angle_interest_rates</t>
        </is>
      </c>
      <c r="H126" s="71">
        <f>IFERROR(INDEX(ModelAnswers!$G$2:$G$176,MATCH($A126,ModelAnswers!$A$2:$A$176,0)),"")</f>
        <v/>
      </c>
      <c r="I126" s="72">
        <f>IF($H126="","",IF(EXACT(TRIM($G126),TRIM($H126)),1,0))</f>
        <v/>
      </c>
      <c r="J126" s="73" t="n">
        <v>3</v>
      </c>
      <c r="K126" s="58" t="inlineStr">
        <is>
          <t>Retrieval: HIT (expected angle_interest_rates, got ['angle_interest_rates', 'angle_fees_brokerage', 'angle_loan_structure', 'angle_start_up', 'angle_settlement']). Auto-scored via source-hit + gold-number-match + keyword-overlap heuristic (see tests/test_queries.py:score_answer). Human reviewer should verify.</t>
        </is>
      </c>
      <c r="L126" s="58" t="n"/>
      <c r="M126" s="74" t="n"/>
    </row>
    <row r="127" ht="46.25" customHeight="1" s="44">
      <c r="A127" s="56" t="inlineStr">
        <is>
          <t>MET-01</t>
        </is>
      </c>
      <c r="B127" s="67" t="inlineStr">
        <is>
          <t>Metro</t>
        </is>
      </c>
      <c r="C127" s="56" t="inlineStr">
        <is>
          <t>PRICING</t>
        </is>
      </c>
      <c r="D127" s="56" t="inlineStr">
        <is>
          <t>What is Metro's prime rate for a passenger vehicle under 5 years old?</t>
        </is>
      </c>
      <c r="E127" s="56" t="inlineStr">
        <is>
          <t>Metro's 8.35% prime rate applies to passenger and commercial vehicles under 12t GVM, up to 5 years old, financed above $20k on a dealer sale, over a 24–60 month term. Amounts between $10k and $20k are priced at 9.15%.</t>
        </is>
      </c>
      <c r="F127" s="69">
        <f>IFERROR(INDEX(ModelAnswers!$F$2:$F$176,MATCH($A127,ModelAnswers!$A$2:$A$176,0)),"")</f>
        <v/>
      </c>
      <c r="G127" s="70" t="inlineStr">
        <is>
          <t>metro_interest_rates</t>
        </is>
      </c>
      <c r="H127" s="71">
        <f>IFERROR(INDEX(ModelAnswers!$G$2:$G$176,MATCH($A127,ModelAnswers!$A$2:$A$176,0)),"")</f>
        <v/>
      </c>
      <c r="I127" s="72">
        <f>IF($H127="","",IF(EXACT(TRIM($G127),TRIM($H127)),1,0))</f>
        <v/>
      </c>
      <c r="J127" s="73" t="n">
        <v>2</v>
      </c>
      <c r="K127" s="58" t="inlineStr">
        <is>
          <t>Retrieval: HIT (expected metro_interest_rates, got ['metro_interest_rates', 'metro_passenger_vehicle_streamlined', 'metro_trucks_trailers_streamlined', 'metro_replacement_policy', 'metro_eco']). Auto-scored via source-hit + gold-number-match + keyword-overlap heuristic (see tests/test_queries.py:score_answer). Human reviewer should verify.</t>
        </is>
      </c>
      <c r="L127" s="58" t="n"/>
      <c r="M127" s="74" t="n"/>
    </row>
    <row r="128" ht="57.45" customHeight="1" s="44">
      <c r="A128" s="56" t="inlineStr">
        <is>
          <t>MET-02</t>
        </is>
      </c>
      <c r="B128" s="67" t="inlineStr">
        <is>
          <t>Metro</t>
        </is>
      </c>
      <c r="C128" s="56" t="inlineStr">
        <is>
          <t>PRICING</t>
        </is>
      </c>
      <c r="D128" s="56" t="inlineStr">
        <is>
          <t>What loadings does Metro apply for older assets and private sales?</t>
        </is>
      </c>
      <c r="E128" s="56" t="inlineStr">
        <is>
          <t>Metro adds 0.75% for assets older than 5 years at the beginning of term, 1.50% for assets older than 10 years at end of term, 0.25% for private sale, 0.75% for sale/hire backs, 2% to the wheeled equipment rate for other equipment, and 1% on the vehicle streamlined non-property product.</t>
        </is>
      </c>
      <c r="F128" s="69">
        <f>IFERROR(INDEX(ModelAnswers!$F$2:$F$176,MATCH($A128,ModelAnswers!$A$2:$A$176,0)),"")</f>
        <v/>
      </c>
      <c r="G128" s="70" t="inlineStr">
        <is>
          <t>metro_interest_rates</t>
        </is>
      </c>
      <c r="H128" s="71">
        <f>IFERROR(INDEX(ModelAnswers!$G$2:$G$176,MATCH($A128,ModelAnswers!$A$2:$A$176,0)),"")</f>
        <v/>
      </c>
      <c r="I128" s="72">
        <f>IF($H128="","",IF(EXACT(TRIM($G128),TRIM($H128)),1,0))</f>
        <v/>
      </c>
      <c r="J128" s="73" t="n">
        <v>3</v>
      </c>
      <c r="K128" s="58" t="inlineStr">
        <is>
          <t>Retrieval: HIT (expected metro_interest_rates, got ['metro_other_equipment_streamlined', 'metro_interest_rates', 'metro_trucks_trailers_streamlined', 'metro_exclusions', 'metro_replacement_policy']). Auto-scored via source-hit + gold-number-match + keyword-overlap heuristic (see tests/test_queries.py:score_answer). Human reviewer should verify.</t>
        </is>
      </c>
      <c r="L128" s="58" t="n"/>
      <c r="M128" s="74" t="n"/>
    </row>
    <row r="129" ht="46.25" customHeight="1" s="44">
      <c r="A129" s="56" t="inlineStr">
        <is>
          <t>MET-03</t>
        </is>
      </c>
      <c r="B129" s="67" t="inlineStr">
        <is>
          <t>Metro</t>
        </is>
      </c>
      <c r="C129" s="56" t="inlineStr">
        <is>
          <t>SPECIAL_PROGRAMS</t>
        </is>
      </c>
      <c r="D129" s="56" t="inlineStr">
        <is>
          <t>What deposit does Metro require for a non-property backed passenger vehicle loan?</t>
        </is>
      </c>
      <c r="E129" s="56" t="inlineStr">
        <is>
          <t>For non-property backed applicants (motor vehicles only), Metro caps the loan at $100,000, permits dealer sale only, and requires a 30% deposit. Maximum Metro exposure for this category is $100,000.</t>
        </is>
      </c>
      <c r="F129" s="69">
        <f>IFERROR(INDEX(ModelAnswers!$F$2:$F$176,MATCH($A129,ModelAnswers!$A$2:$A$176,0)),"")</f>
        <v/>
      </c>
      <c r="G129" s="70" t="inlineStr">
        <is>
          <t>metro_passenger_vehicle_streamlined</t>
        </is>
      </c>
      <c r="H129" s="71">
        <f>IFERROR(INDEX(ModelAnswers!$G$2:$G$176,MATCH($A129,ModelAnswers!$A$2:$A$176,0)),"")</f>
        <v/>
      </c>
      <c r="I129" s="72">
        <f>IF($H129="","",IF(EXACT(TRIM($G129),TRIM($H129)),1,0))</f>
        <v/>
      </c>
      <c r="J129" s="73" t="n">
        <v>2</v>
      </c>
      <c r="K129" s="58" t="inlineStr">
        <is>
          <t>Retrieval: HIT (expected metro_passenger_vehicle_streamlined, got ['metro_passenger_vehicle_streamlined', 'metro_exclusions', 'metro_interest_rates', 'metro_trucks_trailers_streamlined', 'metro_other_equipment_streamlined']). Auto-scored via source-hit + gold-number-match + keyword-overlap heuristic (see tests/test_queries.py:score_answer). Human reviewer should verify.</t>
        </is>
      </c>
      <c r="L129" s="58" t="n"/>
      <c r="M129" s="74" t="n"/>
    </row>
    <row r="130" ht="57.45" customHeight="1" s="44">
      <c r="A130" s="56" t="inlineStr">
        <is>
          <t>MET-04</t>
        </is>
      </c>
      <c r="B130" s="67" t="inlineStr">
        <is>
          <t>Metro</t>
        </is>
      </c>
      <c r="C130" s="56" t="inlineStr">
        <is>
          <t>LOAN_LIMITS</t>
        </is>
      </c>
      <c r="D130" s="56" t="inlineStr">
        <is>
          <t>What Metro exposure applies to a customer with 24 months of good repayment history?</t>
        </is>
      </c>
      <c r="E130" s="56" t="inlineStr">
        <is>
          <t>A customer with 24 months of good repayment history with Metro can reach a maximum Metro exposure of $750,000 (including existing Metro exposure). New Metro customers are capped at $250,000, and customers with 12 months good repayment history at $500,000.</t>
        </is>
      </c>
      <c r="F130" s="69">
        <f>IFERROR(INDEX(ModelAnswers!$F$2:$F$176,MATCH($A130,ModelAnswers!$A$2:$A$176,0)),"")</f>
        <v/>
      </c>
      <c r="G130" s="70" t="inlineStr">
        <is>
          <t>metro_passenger_vehicle_streamlined</t>
        </is>
      </c>
      <c r="H130" s="71">
        <f>IFERROR(INDEX(ModelAnswers!$G$2:$G$176,MATCH($A130,ModelAnswers!$A$2:$A$176,0)),"")</f>
        <v/>
      </c>
      <c r="I130" s="72">
        <f>IF($H130="","",IF(EXACT(TRIM($G130),TRIM($H130)),1,0))</f>
        <v/>
      </c>
      <c r="J130" s="73" t="n">
        <v>3</v>
      </c>
      <c r="K130" s="58" t="inlineStr">
        <is>
          <t>Retrieval: HIT (expected metro_passenger_vehicle_streamlined, got ['metro_passenger_vehicle_streamlined', 'metro_replacement_policy', 'metro_trucks_trailers_streamlined', 'metro_interest_rates', 'metro_balloon_refinance']). Auto-scored via source-hit + gold-number-match + keyword-overlap heuristic (see tests/test_queries.py:score_answer). Human reviewer should verify.</t>
        </is>
      </c>
      <c r="L130" s="58" t="n"/>
      <c r="M130" s="74" t="n"/>
    </row>
    <row r="131" ht="46.25" customHeight="1" s="44">
      <c r="A131" s="56" t="inlineStr">
        <is>
          <t>MET-05</t>
        </is>
      </c>
      <c r="B131" s="67" t="inlineStr">
        <is>
          <t>Metro</t>
        </is>
      </c>
      <c r="C131" s="56" t="inlineStr">
        <is>
          <t>ASSET_ELIGIBILITY</t>
        </is>
      </c>
      <c r="D131" s="56" t="inlineStr">
        <is>
          <t>Are prime movers eligible under Metro's Trucks, Trailers &amp; Wheeled Equipment streamlined product?</t>
        </is>
      </c>
      <c r="E131" s="56" t="inlineStr">
        <is>
          <t>No. Metro's Trucks, Trailers &amp; Wheeled Equipment streamlined product covers medium and heavy commercial vehicles above 3.5t GVM but explicitly excludes prime movers.</t>
        </is>
      </c>
      <c r="F131" s="69">
        <f>IFERROR(INDEX(ModelAnswers!$F$2:$F$176,MATCH($A131,ModelAnswers!$A$2:$A$176,0)),"")</f>
        <v/>
      </c>
      <c r="G131" s="70" t="inlineStr">
        <is>
          <t>metro_trucks_trailers_streamlined</t>
        </is>
      </c>
      <c r="H131" s="71">
        <f>IFERROR(INDEX(ModelAnswers!$G$2:$G$176,MATCH($A131,ModelAnswers!$A$2:$A$176,0)),"")</f>
        <v/>
      </c>
      <c r="I131" s="72">
        <f>IF($H131="","",IF(EXACT(TRIM($G131),TRIM($H131)),1,0))</f>
        <v/>
      </c>
      <c r="J131" s="73" t="n">
        <v>2</v>
      </c>
      <c r="K131" s="58" t="inlineStr">
        <is>
          <t>Retrieval: HIT (expected metro_trucks_trailers_streamlined, got ['metro_trucks_trailers_streamlined', 'metro_exclusions', 'metro_other_equipment_streamlined', 'metro_passenger_vehicle_streamlined', 'metro_balloon_refinance']). Auto-scored via source-hit + gold-number-match + keyword-overlap heuristic (see tests/test_queries.py:score_answer). Human reviewer should verify.</t>
        </is>
      </c>
      <c r="L131" s="58" t="n"/>
      <c r="M131" s="74" t="n"/>
    </row>
    <row r="132" ht="46.25" customHeight="1" s="44">
      <c r="A132" s="56" t="inlineStr">
        <is>
          <t>MET-06</t>
        </is>
      </c>
      <c r="B132" s="67" t="inlineStr">
        <is>
          <t>Metro</t>
        </is>
      </c>
      <c r="C132" s="56" t="inlineStr">
        <is>
          <t>SPECIAL_PROGRAMS</t>
        </is>
      </c>
      <c r="D132" s="56" t="inlineStr">
        <is>
          <t>What GST registration and farm size does Metro require under the Agri streamlined product?</t>
        </is>
      </c>
      <c r="E132" s="56" t="inlineStr">
        <is>
          <t>Metro's Agri streamlined product requires the business to be GST registered for more than 5 years, to be a genuine primary producer, and to have a minimum farm size of 40 hectares. Maximum term is 60 months.</t>
        </is>
      </c>
      <c r="F132" s="69">
        <f>IFERROR(INDEX(ModelAnswers!$F$2:$F$176,MATCH($A132,ModelAnswers!$A$2:$A$176,0)),"")</f>
        <v/>
      </c>
      <c r="G132" s="70" t="inlineStr">
        <is>
          <t>metro_agri_streamlined</t>
        </is>
      </c>
      <c r="H132" s="71">
        <f>IFERROR(INDEX(ModelAnswers!$G$2:$G$176,MATCH($A132,ModelAnswers!$A$2:$A$176,0)),"")</f>
        <v/>
      </c>
      <c r="I132" s="72">
        <f>IF($H132="","",IF(EXACT(TRIM($G132),TRIM($H132)),1,0))</f>
        <v/>
      </c>
      <c r="J132" s="73" t="n">
        <v>3</v>
      </c>
      <c r="K132" s="58" t="inlineStr">
        <is>
          <t>Retrieval: HIT (expected metro_agri_streamlined, got ['metro_agri_streamlined', 'metro_exclusions', 'metro_passenger_vehicle_streamlined', 'metro_replacement_policy', 'metro_other_equipment_streamlined']). Auto-scored via source-hit + gold-number-match + keyword-overlap heuristic (see tests/test_queries.py:score_answer). Human reviewer should verify.</t>
        </is>
      </c>
      <c r="L132" s="58" t="n"/>
      <c r="M132" s="74" t="n"/>
    </row>
    <row r="133" ht="46.25" customHeight="1" s="44">
      <c r="A133" s="56" t="inlineStr">
        <is>
          <t>MET-07</t>
        </is>
      </c>
      <c r="B133" s="67" t="inlineStr">
        <is>
          <t>Metro</t>
        </is>
      </c>
      <c r="C133" s="56" t="inlineStr">
        <is>
          <t>ASSET_ELIGIBILITY</t>
        </is>
      </c>
      <c r="D133" s="56" t="inlineStr">
        <is>
          <t>Can Metro finance equipment under the Other Equipment streamlined product via private sale?</t>
        </is>
      </c>
      <c r="E133" s="56" t="inlineStr">
        <is>
          <t>No. The Other Equipment streamlined product must be from a recognised supplier — no private sale or sale/hire back is permitted. The asset must be no older than 3 years and serial numbered, with a maximum loan of $100,000.</t>
        </is>
      </c>
      <c r="F133" s="69">
        <f>IFERROR(INDEX(ModelAnswers!$F$2:$F$176,MATCH($A133,ModelAnswers!$A$2:$A$176,0)),"")</f>
        <v/>
      </c>
      <c r="G133" s="70" t="inlineStr">
        <is>
          <t>metro_other_equipment_streamlined</t>
        </is>
      </c>
      <c r="H133" s="71">
        <f>IFERROR(INDEX(ModelAnswers!$G$2:$G$176,MATCH($A133,ModelAnswers!$A$2:$A$176,0)),"")</f>
        <v/>
      </c>
      <c r="I133" s="72">
        <f>IF($H133="","",IF(EXACT(TRIM($G133),TRIM($H133)),1,0))</f>
        <v/>
      </c>
      <c r="J133" s="73" t="n">
        <v>2</v>
      </c>
      <c r="K133" s="58" t="inlineStr">
        <is>
          <t>Retrieval: HIT (expected metro_other_equipment_streamlined, got ['metro_other_equipment_streamlined', 'metro_exclusions', 'metro_trucks_trailers_streamlined', 'metro_agri_streamlined', 'metro_passenger_vehicle_streamlined']). Auto-scored via source-hit + gold-number-match + keyword-overlap heuristic (see tests/test_queries.py:score_answer). Human reviewer should verify.</t>
        </is>
      </c>
      <c r="L133" s="58" t="n"/>
      <c r="M133" s="74" t="n"/>
    </row>
    <row r="134" ht="57.45" customHeight="1" s="44">
      <c r="A134" s="56" t="inlineStr">
        <is>
          <t>MET-08</t>
        </is>
      </c>
      <c r="B134" s="67" t="inlineStr">
        <is>
          <t>Metro</t>
        </is>
      </c>
      <c r="C134" s="56" t="inlineStr">
        <is>
          <t>SPECIAL_PROGRAMS</t>
        </is>
      </c>
      <c r="D134" s="56" t="inlineStr">
        <is>
          <t>Under Metro's Replacement Policy, how long must the contract being replaced have run?</t>
        </is>
      </c>
      <c r="E134" s="56" t="inlineStr">
        <is>
          <t>Contracts being replaced must have run for a minimum of 36 months. The new loan amount must not exceed 125% of the original loan amount of the contract being replaced, or the proposed monthly repayment must not exceed 125% of the monthly repayment being replaced.</t>
        </is>
      </c>
      <c r="F134" s="69">
        <f>IFERROR(INDEX(ModelAnswers!$F$2:$F$176,MATCH($A134,ModelAnswers!$A$2:$A$176,0)),"")</f>
        <v/>
      </c>
      <c r="G134" s="70" t="inlineStr">
        <is>
          <t>metro_replacement_policy</t>
        </is>
      </c>
      <c r="H134" s="71">
        <f>IFERROR(INDEX(ModelAnswers!$G$2:$G$176,MATCH($A134,ModelAnswers!$A$2:$A$176,0)),"")</f>
        <v/>
      </c>
      <c r="I134" s="72">
        <f>IF($H134="","",IF(EXACT(TRIM($G134),TRIM($H134)),1,0))</f>
        <v/>
      </c>
      <c r="J134" s="73" t="n">
        <v>2</v>
      </c>
      <c r="K134" s="58" t="inlineStr">
        <is>
          <t>Retrieval: HIT (expected metro_replacement_policy, got ['metro_replacement_policy', 'metro_balloon_refinance', 'metro_exclusions', 'metro_interest_rates', 'metro_other_equipment_streamlined', 'metro_trucks_trailers_streamlined', 'metro_eco']). Auto-scored via source-hit + gold-number-match + keyword-overlap heuristic (see tests/test_queries.py:score_answer). Human reviewer should verify.</t>
        </is>
      </c>
      <c r="L134" s="58" t="n"/>
      <c r="M134" s="74" t="n"/>
    </row>
    <row r="135" ht="79.84999999999999" customHeight="1" s="44">
      <c r="A135" s="56" t="inlineStr">
        <is>
          <t>MET-09</t>
        </is>
      </c>
      <c r="B135" s="67" t="inlineStr">
        <is>
          <t>Metro</t>
        </is>
      </c>
      <c r="C135" s="56" t="inlineStr">
        <is>
          <t>SPECIAL_PROGRAMS</t>
        </is>
      </c>
      <c r="D135" s="56" t="inlineStr">
        <is>
          <t>What rate discount and loan term apply to MetroEco electric trucks?</t>
        </is>
      </c>
      <c r="E135" s="56" t="inlineStr">
        <is>
          <t>MetroEco electric trucks receive a 1% MetroEco rate discount. They must be brand new assets only, dealer sale, battery electric trucks 3.5t GVM and above, property owners only, up to $250,000 for new customers or $300,000 with 12 months good repayment history. Maximum transaction size is $600,000 with full financials, and maximum electric truck exposure is $700,000. Biofuel and hybrid are excluded.</t>
        </is>
      </c>
      <c r="F135" s="69">
        <f>IFERROR(INDEX(ModelAnswers!$F$2:$F$176,MATCH($A135,ModelAnswers!$A$2:$A$176,0)),"")</f>
        <v/>
      </c>
      <c r="G135" s="70" t="inlineStr">
        <is>
          <t>metro_eco</t>
        </is>
      </c>
      <c r="H135" s="71">
        <f>IFERROR(INDEX(ModelAnswers!$G$2:$G$176,MATCH($A135,ModelAnswers!$A$2:$A$176,0)),"")</f>
        <v/>
      </c>
      <c r="I135" s="72">
        <f>IF($H135="","",IF(EXACT(TRIM($G135),TRIM($H135)),1,0))</f>
        <v/>
      </c>
      <c r="J135" s="73" t="n">
        <v>2</v>
      </c>
      <c r="K135" s="58" t="inlineStr">
        <is>
          <t>Retrieval: HIT (expected metro_eco, got ['metro_eco', 'metro_interest_rates', 'metro_trucks_trailers_streamlined', 'metro_exclusions', 'metro_passenger_vehicle_streamlined']). Auto-scored via source-hit + gold-number-match + keyword-overlap heuristic (see tests/test_queries.py:score_answer). Human reviewer should verify.</t>
        </is>
      </c>
      <c r="L135" s="58" t="n"/>
      <c r="M135" s="74" t="n"/>
    </row>
    <row r="136" ht="46.25" customHeight="1" s="44">
      <c r="A136" s="56" t="inlineStr">
        <is>
          <t>MET-10</t>
        </is>
      </c>
      <c r="B136" s="67" t="inlineStr">
        <is>
          <t>Metro</t>
        </is>
      </c>
      <c r="C136" s="56" t="inlineStr">
        <is>
          <t>EXCLUSIONS</t>
        </is>
      </c>
      <c r="D136" s="56" t="inlineStr">
        <is>
          <t>What is Metro's maximum lending in a 12-month period under streamlined products?</t>
        </is>
      </c>
      <c r="E136" s="56" t="inlineStr">
        <is>
          <t>Metro caps streamlined lending at a maximum of $500,000 in a 12 month period. Sale/hire back is not permitted under streamlined products, and satisfactory Equifax is required on applicants and guarantors.</t>
        </is>
      </c>
      <c r="F136" s="69">
        <f>IFERROR(INDEX(ModelAnswers!$F$2:$F$176,MATCH($A136,ModelAnswers!$A$2:$A$176,0)),"")</f>
        <v/>
      </c>
      <c r="G136" s="70" t="inlineStr">
        <is>
          <t>metro_exclusions</t>
        </is>
      </c>
      <c r="H136" s="71">
        <f>IFERROR(INDEX(ModelAnswers!$G$2:$G$176,MATCH($A136,ModelAnswers!$A$2:$A$176,0)),"")</f>
        <v/>
      </c>
      <c r="I136" s="72">
        <f>IF($H136="","",IF(EXACT(TRIM($G136),TRIM($H136)),1,0))</f>
        <v/>
      </c>
      <c r="J136" s="73" t="n">
        <v>3</v>
      </c>
      <c r="K136" s="58" t="inlineStr">
        <is>
          <t>Retrieval: HIT (expected metro_exclusions, got ['metro_trucks_trailers_streamlined', 'metro_passenger_vehicle_streamlined', 'metro_eco', 'metro_other_equipment_streamlined', 'metro_agri_streamlined', 'metro_exclusions']). Auto-scored via source-hit + gold-number-match + keyword-overlap heuristic (see tests/test_queries.py:score_answer). Human reviewer should verify.</t>
        </is>
      </c>
      <c r="L136" s="58" t="n"/>
      <c r="M136" s="74" t="n"/>
    </row>
    <row r="137" ht="46.25" customHeight="1" s="44">
      <c r="A137" s="56" t="inlineStr">
        <is>
          <t>MET-11</t>
        </is>
      </c>
      <c r="B137" s="67" t="inlineStr">
        <is>
          <t>Metro</t>
        </is>
      </c>
      <c r="C137" s="56" t="inlineStr">
        <is>
          <t>LOAN_LIMITS</t>
        </is>
      </c>
      <c r="D137" s="56" t="inlineStr">
        <is>
          <t>What is the maximum loan for a new Metro customer buying a truck, and what is the private sale cap?</t>
        </is>
      </c>
      <c r="E137" s="56" t="inlineStr">
        <is>
          <t>A new Metro customer can borrow up to $250,000 (dealer and private sale) for trucks and trailers, rising to $300,000 with 12 months good repayment history with Metro. The maximum transaction size for private sales is $250,000.</t>
        </is>
      </c>
      <c r="F137" s="69">
        <f>IFERROR(INDEX(ModelAnswers!$F$2:$F$176,MATCH($A137,ModelAnswers!$A$2:$A$176,0)),"")</f>
        <v/>
      </c>
      <c r="G137" s="70" t="inlineStr">
        <is>
          <t>metro_trucks_trailers_streamlined</t>
        </is>
      </c>
      <c r="H137" s="71">
        <f>IFERROR(INDEX(ModelAnswers!$G$2:$G$176,MATCH($A137,ModelAnswers!$A$2:$A$176,0)),"")</f>
        <v/>
      </c>
      <c r="I137" s="72">
        <f>IF($H137="","",IF(EXACT(TRIM($G137),TRIM($H137)),1,0))</f>
        <v/>
      </c>
      <c r="J137" s="73" t="n">
        <v>3</v>
      </c>
      <c r="K137" s="58" t="inlineStr">
        <is>
          <t>Retrieval: HIT (expected metro_trucks_trailers_streamlined, got ['metro_trucks_trailers_streamlined', 'metro_exclusions', 'metro_passenger_vehicle_streamlined', 'metro_other_equipment_streamlined', 'metro_replacement_policy']). Auto-scored via source-hit + gold-number-match + keyword-overlap heuristic (see tests/test_queries.py:score_answer). Human reviewer should verify.</t>
        </is>
      </c>
      <c r="L137" s="58" t="n"/>
      <c r="M137" s="74" t="n"/>
    </row>
    <row r="138" ht="46.25" customHeight="1" s="44">
      <c r="A138" s="56" t="inlineStr">
        <is>
          <t>MET-12</t>
        </is>
      </c>
      <c r="B138" s="67" t="inlineStr">
        <is>
          <t>Metro</t>
        </is>
      </c>
      <c r="C138" s="56" t="inlineStr">
        <is>
          <t>ASSET_ELIGIBILITY</t>
        </is>
      </c>
      <c r="D138" s="56" t="inlineStr">
        <is>
          <t>What is the maximum asset age at end of term for a Metro passenger vehicle?</t>
        </is>
      </c>
      <c r="E138" s="56" t="inlineStr">
        <is>
          <t>Under the Passenger Vehicle streamlined product (&lt;3.5t GVM), the asset must be no older than 12 years at end of term. Trucks, trailers and wheeled equipment allow up to 15 years at end of term.</t>
        </is>
      </c>
      <c r="F138" s="69">
        <f>IFERROR(INDEX(ModelAnswers!$F$2:$F$176,MATCH($A138,ModelAnswers!$A$2:$A$176,0)),"")</f>
        <v/>
      </c>
      <c r="G138" s="70" t="inlineStr">
        <is>
          <t>metro_passenger_vehicle_streamlined</t>
        </is>
      </c>
      <c r="H138" s="71">
        <f>IFERROR(INDEX(ModelAnswers!$G$2:$G$176,MATCH($A138,ModelAnswers!$A$2:$A$176,0)),"")</f>
        <v/>
      </c>
      <c r="I138" s="72">
        <f>IF($H138="","",IF(EXACT(TRIM($G138),TRIM($H138)),1,0))</f>
        <v/>
      </c>
      <c r="J138" s="73" t="n">
        <v>2</v>
      </c>
      <c r="K138" s="58" t="inlineStr">
        <is>
          <t>Retrieval: HIT (expected metro_passenger_vehicle_streamlined, got ['metro_trucks_trailers_streamlined', 'metro_passenger_vehicle_streamlined', 'metro_other_equipment_streamlined', 'metro_interest_rates', 'metro_replacement_policy']). Auto-scored via source-hit + gold-number-match + keyword-overlap heuristic (see tests/test_queries.py:score_answer). Human reviewer should verify.</t>
        </is>
      </c>
      <c r="L138" s="58" t="n"/>
      <c r="M138" s="74" t="n"/>
    </row>
    <row r="139" ht="57.45" customHeight="1" s="44">
      <c r="A139" s="56" t="inlineStr">
        <is>
          <t>MET-13</t>
        </is>
      </c>
      <c r="B139" s="67" t="inlineStr">
        <is>
          <t>Metro</t>
        </is>
      </c>
      <c r="C139" s="56" t="inlineStr">
        <is>
          <t>SPECIAL_PROGRAMS</t>
        </is>
      </c>
      <c r="D139" s="56" t="inlineStr">
        <is>
          <t>What is the maximum loan under Metro's Replacement Policy for medium and heavy commercial vehicles?</t>
        </is>
      </c>
      <c r="E139" s="56" t="inlineStr">
        <is>
          <t>Metro's Replacement Policy allows $300,000 for medium &amp; heavy commercial (excludes prime movers), trailers and wheeled equipment on dealer sales; $150,000 for passenger vehicles and light commercial; and a maximum transaction size of $250,000 for private sales.</t>
        </is>
      </c>
      <c r="F139" s="69">
        <f>IFERROR(INDEX(ModelAnswers!$F$2:$F$176,MATCH($A139,ModelAnswers!$A$2:$A$176,0)),"")</f>
        <v/>
      </c>
      <c r="G139" s="70" t="inlineStr">
        <is>
          <t>metro_replacement_policy</t>
        </is>
      </c>
      <c r="H139" s="71">
        <f>IFERROR(INDEX(ModelAnswers!$G$2:$G$176,MATCH($A139,ModelAnswers!$A$2:$A$176,0)),"")</f>
        <v/>
      </c>
      <c r="I139" s="72">
        <f>IF($H139="","",IF(EXACT(TRIM($G139),TRIM($H139)),1,0))</f>
        <v/>
      </c>
      <c r="J139" s="73" t="n">
        <v>3</v>
      </c>
      <c r="K139" s="58" t="inlineStr">
        <is>
          <t>Retrieval: HIT (expected metro_replacement_policy, got ['metro_replacement_policy', 'metro_trucks_trailers_streamlined', 'metro_interest_rates', 'metro_passenger_vehicle_streamlined', 'metro_eco']). Auto-scored via source-hit + gold-number-match + keyword-overlap heuristic (see tests/test_queries.py:score_answer). Human reviewer should verify.</t>
        </is>
      </c>
      <c r="L139" s="58" t="n"/>
      <c r="M139" s="74" t="n"/>
    </row>
    <row r="140" ht="46.25" customHeight="1" s="44">
      <c r="A140" s="56" t="inlineStr">
        <is>
          <t>MET-14</t>
        </is>
      </c>
      <c r="B140" s="67" t="inlineStr">
        <is>
          <t>Metro</t>
        </is>
      </c>
      <c r="C140" s="56" t="inlineStr">
        <is>
          <t>SPECIAL_PROGRAMS</t>
        </is>
      </c>
      <c r="D140" s="56" t="inlineStr">
        <is>
          <t>What loan term does MetroEco offer for a commercial electric vehicle?</t>
        </is>
      </c>
      <c r="E140" s="56" t="inlineStr">
        <is>
          <t>A commercial MetroEco electric vehicle has a 60-month loan term with a maximum EOT of 5 years, for up to $91,387.00 on vehicles, new or demo, from a dealer. Consumers get 84 months (max EOT 7 years) and novated is 60 months.</t>
        </is>
      </c>
      <c r="F140" s="69">
        <f>IFERROR(INDEX(ModelAnswers!$F$2:$F$176,MATCH($A140,ModelAnswers!$A$2:$A$176,0)),"")</f>
        <v/>
      </c>
      <c r="G140" s="70" t="inlineStr">
        <is>
          <t>metro_eco</t>
        </is>
      </c>
      <c r="H140" s="71">
        <f>IFERROR(INDEX(ModelAnswers!$G$2:$G$176,MATCH($A140,ModelAnswers!$A$2:$A$176,0)),"")</f>
        <v/>
      </c>
      <c r="I140" s="72">
        <f>IF($H140="","",IF(EXACT(TRIM($G140),TRIM($H140)),1,0))</f>
        <v/>
      </c>
      <c r="J140" s="73" t="n">
        <v>2</v>
      </c>
      <c r="K140" s="58" t="inlineStr">
        <is>
          <t>Retrieval: HIT (expected metro_eco, got ['metro_eco', 'metro_interest_rates', 'metro_trucks_trailers_streamlined', 'metro_exclusions', 'metro_passenger_vehicle_streamlined']). Auto-scored via source-hit + gold-number-match + keyword-overlap heuristic (see tests/test_queries.py:score_answer). Human reviewer should verify.</t>
        </is>
      </c>
      <c r="L140" s="58" t="n"/>
      <c r="M140" s="74" t="n"/>
    </row>
    <row r="141" ht="57.45" customHeight="1" s="44">
      <c r="A141" s="56" t="inlineStr">
        <is>
          <t>MET-15</t>
        </is>
      </c>
      <c r="B141" s="67" t="inlineStr">
        <is>
          <t>Metro</t>
        </is>
      </c>
      <c r="C141" s="56" t="inlineStr">
        <is>
          <t>LOAN_LIMITS</t>
        </is>
      </c>
      <c r="D141" s="56" t="inlineStr">
        <is>
          <t>What is the maximum loan for agricultural implements under Metro's Agri product?</t>
        </is>
      </c>
      <c r="E141" s="56" t="inlineStr">
        <is>
          <t>Implements / Tertiary Equipment are capped at $150,000 maximum (dealer/private sale) with a $10,000 minimum, for both new and existing Metro customers. Primary agricultural equipment allows $250,000, rising to $300,000 with 12 months good repayment history.</t>
        </is>
      </c>
      <c r="F141" s="69">
        <f>IFERROR(INDEX(ModelAnswers!$F$2:$F$176,MATCH($A141,ModelAnswers!$A$2:$A$176,0)),"")</f>
        <v/>
      </c>
      <c r="G141" s="70" t="inlineStr">
        <is>
          <t>metro_agri_streamlined</t>
        </is>
      </c>
      <c r="H141" s="71">
        <f>IFERROR(INDEX(ModelAnswers!$G$2:$G$176,MATCH($A141,ModelAnswers!$A$2:$A$176,0)),"")</f>
        <v/>
      </c>
      <c r="I141" s="72">
        <f>IF($H141="","",IF(EXACT(TRIM($G141),TRIM($H141)),1,0))</f>
        <v/>
      </c>
      <c r="J141" s="73" t="n">
        <v>2</v>
      </c>
      <c r="K141" s="58" t="inlineStr">
        <is>
          <t>Retrieval: HIT (expected metro_agri_streamlined, got ['metro_agri_streamlined', 'metro_exclusions', 'metro_other_equipment_streamlined', 'metro_eco', 'metro_trucks_trailers_streamlined']). Auto-scored via source-hit + gold-number-match + keyword-overlap heuristic (see tests/test_queries.py:score_answer). Human reviewer should verify.</t>
        </is>
      </c>
      <c r="L141" s="58" t="n"/>
      <c r="M141" s="74" t="n"/>
    </row>
    <row r="142" ht="23.85" customHeight="1" s="44">
      <c r="A142" s="56" t="inlineStr">
        <is>
          <t>MET-16</t>
        </is>
      </c>
      <c r="B142" s="67" t="inlineStr">
        <is>
          <t>Metro</t>
        </is>
      </c>
      <c r="C142" s="56" t="inlineStr">
        <is>
          <t>PRICING</t>
        </is>
      </c>
      <c r="D142" s="56" t="inlineStr">
        <is>
          <t>How does brokerage above 4% affect a Metro rate?</t>
        </is>
      </c>
      <c r="E142" s="56" t="inlineStr">
        <is>
          <t>Metro's advertised rates apply for brokerage up to 4%. Above 4.0%, add 0.5% to the base rate for every 1% of brokerage.</t>
        </is>
      </c>
      <c r="F142" s="69">
        <f>IFERROR(INDEX(ModelAnswers!$F$2:$F$176,MATCH($A142,ModelAnswers!$A$2:$A$176,0)),"")</f>
        <v/>
      </c>
      <c r="G142" s="70" t="inlineStr">
        <is>
          <t>metro_interest_rates</t>
        </is>
      </c>
      <c r="H142" s="71">
        <f>IFERROR(INDEX(ModelAnswers!$G$2:$G$176,MATCH($A142,ModelAnswers!$A$2:$A$176,0)),"")</f>
        <v/>
      </c>
      <c r="I142" s="72">
        <f>IF($H142="","",IF(EXACT(TRIM($G142),TRIM($H142)),1,0))</f>
        <v/>
      </c>
      <c r="J142" s="73" t="n">
        <v>4</v>
      </c>
      <c r="K142" s="58" t="inlineStr">
        <is>
          <t>Retrieval: HIT (expected metro_interest_rates, got ['metro_interest_rates', 'metro_replacement_policy', 'metro_passenger_vehicle_streamlined', 'metro_balloon_refinance', 'metro_other_equipment_streamlined']). Auto-scored via source-hit + gold-number-match + keyword-overlap heuristic (see tests/test_queries.py:score_answer). Human reviewer should verify.</t>
        </is>
      </c>
      <c r="L142" s="58" t="n"/>
      <c r="M142" s="74" t="n"/>
    </row>
    <row r="143" ht="23.85" customHeight="1" s="44">
      <c r="A143" s="56" t="inlineStr">
        <is>
          <t>MET-17</t>
        </is>
      </c>
      <c r="B143" s="67" t="inlineStr">
        <is>
          <t>Metro</t>
        </is>
      </c>
      <c r="C143" s="56" t="inlineStr">
        <is>
          <t>FEES</t>
        </is>
      </c>
      <c r="D143" s="56" t="inlineStr">
        <is>
          <t>What fees does Metro charge?</t>
        </is>
      </c>
      <c r="E143" s="56" t="inlineStr">
        <is>
          <t>Metro charges a minimum fee of $275 and a maximum of $450, excluding split 50/50.</t>
        </is>
      </c>
      <c r="F143" s="69">
        <f>IFERROR(INDEX(ModelAnswers!$F$2:$F$176,MATCH($A143,ModelAnswers!$A$2:$A$176,0)),"")</f>
        <v/>
      </c>
      <c r="G143" s="70" t="inlineStr">
        <is>
          <t>metro_interest_rates</t>
        </is>
      </c>
      <c r="H143" s="71">
        <f>IFERROR(INDEX(ModelAnswers!$G$2:$G$176,MATCH($A143,ModelAnswers!$A$2:$A$176,0)),"")</f>
        <v/>
      </c>
      <c r="I143" s="72">
        <f>IF($H143="","",IF(EXACT(TRIM($G143),TRIM($H143)),1,0))</f>
        <v/>
      </c>
      <c r="J143" s="73" t="n">
        <v>2</v>
      </c>
      <c r="K143" s="58" t="inlineStr">
        <is>
          <t>Retrieval: HIT (expected metro_interest_rates, got ['metro_interest_rates', 'metro_replacement_policy', 'metro_eco', 'metro_passenger_vehicle_streamlined', 'metro_balloon_refinance']). Auto-scored via source-hit + gold-number-match + keyword-overlap heuristic (see tests/test_queries.py:score_answer). Human reviewer should verify.</t>
        </is>
      </c>
      <c r="L143" s="58" t="n"/>
      <c r="M143" s="74" t="n"/>
    </row>
    <row r="144" ht="46.25" customHeight="1" s="44">
      <c r="A144" s="56" t="inlineStr">
        <is>
          <t>MET-18</t>
        </is>
      </c>
      <c r="B144" s="67" t="inlineStr">
        <is>
          <t>Metro</t>
        </is>
      </c>
      <c r="C144" s="56" t="inlineStr">
        <is>
          <t>SPECIAL_PROGRAMS</t>
        </is>
      </c>
      <c r="D144" s="56" t="inlineStr">
        <is>
          <t>When must a contract be to qualify for Metro's Balloon/Residual Refinance product?</t>
        </is>
      </c>
      <c r="E144" s="56" t="inlineStr">
        <is>
          <t>The account being replaced must be in its final 12 months. The product covers motor vehicles and wheeled equipment only, and prime movers are included. No inspection is required.</t>
        </is>
      </c>
      <c r="F144" s="69">
        <f>IFERROR(INDEX(ModelAnswers!$F$2:$F$176,MATCH($A144,ModelAnswers!$A$2:$A$176,0)),"")</f>
        <v/>
      </c>
      <c r="G144" s="70" t="inlineStr">
        <is>
          <t>metro_balloon_refinance</t>
        </is>
      </c>
      <c r="H144" s="71">
        <f>IFERROR(INDEX(ModelAnswers!$G$2:$G$176,MATCH($A144,ModelAnswers!$A$2:$A$176,0)),"")</f>
        <v/>
      </c>
      <c r="I144" s="72">
        <f>IF($H144="","",IF(EXACT(TRIM($G144),TRIM($H144)),1,0))</f>
        <v/>
      </c>
      <c r="J144" s="73" t="n">
        <v>4</v>
      </c>
      <c r="K144" s="58" t="inlineStr">
        <is>
          <t>Retrieval: HIT (expected metro_balloon_refinance, got ['metro_balloon_refinance', 'metro_replacement_policy', 'metro_other_equipment_streamlined', 'metro_exclusions', 'metro_trucks_trailers_streamlined']). Auto-scored via source-hit + gold-number-match + keyword-overlap heuristic (see tests/test_queries.py:score_answer). Human reviewer should verify.</t>
        </is>
      </c>
      <c r="L144" s="58" t="n"/>
      <c r="M144" s="74" t="n"/>
    </row>
    <row r="145" ht="46.25" customHeight="1" s="44">
      <c r="A145" s="56" t="inlineStr">
        <is>
          <t>MET-19</t>
        </is>
      </c>
      <c r="B145" s="67" t="inlineStr">
        <is>
          <t>Metro</t>
        </is>
      </c>
      <c r="C145" s="56" t="inlineStr">
        <is>
          <t>EXCLUSIONS</t>
        </is>
      </c>
      <c r="D145" s="56" t="inlineStr">
        <is>
          <t>Does Metro finance dairy and irrigation equipment under the Agri product?</t>
        </is>
      </c>
      <c r="E145" s="56" t="inlineStr">
        <is>
          <t>No. Dairy equipment and irrigation equipment are both on Metro's Agri non-eligible list, along with sheds, silos, yards, testing and measurement equipment, bikes &amp; ATVs, and forestry industry assets.</t>
        </is>
      </c>
      <c r="F145" s="69">
        <f>IFERROR(INDEX(ModelAnswers!$F$2:$F$176,MATCH($A145,ModelAnswers!$A$2:$A$176,0)),"")</f>
        <v/>
      </c>
      <c r="G145" s="70" t="inlineStr">
        <is>
          <t>metro_agri_streamlined</t>
        </is>
      </c>
      <c r="H145" s="71">
        <f>IFERROR(INDEX(ModelAnswers!$G$2:$G$176,MATCH($A145,ModelAnswers!$A$2:$A$176,0)),"")</f>
        <v/>
      </c>
      <c r="I145" s="72">
        <f>IF($H145="","",IF(EXACT(TRIM($G145),TRIM($H145)),1,0))</f>
        <v/>
      </c>
      <c r="J145" s="73" t="n">
        <v>3</v>
      </c>
      <c r="K145" s="58" t="inlineStr">
        <is>
          <t>Retrieval: HIT (expected metro_agri_streamlined, got ['metro_agri_streamlined', 'metro_exclusions', 'metro_other_equipment_streamlined', 'metro_trucks_trailers_streamlined', 'metro_balloon_refinance']). Auto-scored via source-hit + gold-number-match + keyword-overlap heuristic (see tests/test_queries.py:score_answer). Human reviewer should verify.</t>
        </is>
      </c>
      <c r="L145" s="58" t="n"/>
      <c r="M145" s="74" t="n"/>
    </row>
    <row r="146" ht="23.85" customHeight="1" s="44">
      <c r="A146" s="56" t="inlineStr">
        <is>
          <t>MET-20</t>
        </is>
      </c>
      <c r="B146" s="67" t="inlineStr">
        <is>
          <t>Metro</t>
        </is>
      </c>
      <c r="C146" s="56" t="inlineStr">
        <is>
          <t>ELIGIBILITY</t>
        </is>
      </c>
      <c r="D146" s="56" t="inlineStr">
        <is>
          <t>What GST registration does Metro require for the passenger vehicle streamlined product?</t>
        </is>
      </c>
      <c r="E146" s="56" t="inlineStr">
        <is>
          <t>Metro requires the business to be GST registered 2 years continuously for the passenger vehicle streamlined product.</t>
        </is>
      </c>
      <c r="F146" s="69">
        <f>IFERROR(INDEX(ModelAnswers!$F$2:$F$176,MATCH($A146,ModelAnswers!$A$2:$A$176,0)),"")</f>
        <v/>
      </c>
      <c r="G146" s="70" t="inlineStr">
        <is>
          <t>metro_passenger_vehicle_streamlined</t>
        </is>
      </c>
      <c r="H146" s="71">
        <f>IFERROR(INDEX(ModelAnswers!$G$2:$G$176,MATCH($A146,ModelAnswers!$A$2:$A$176,0)),"")</f>
        <v/>
      </c>
      <c r="I146" s="72">
        <f>IF($H146="","",IF(EXACT(TRIM($G146),TRIM($H146)),1,0))</f>
        <v/>
      </c>
      <c r="J146" s="73" t="n">
        <v>2</v>
      </c>
      <c r="K146" s="58" t="inlineStr">
        <is>
          <t>Retrieval: HIT (expected metro_passenger_vehicle_streamlined, got ['metro_passenger_vehicle_streamlined', 'metro_exclusions', 'metro_agri_streamlined', 'metro_trucks_trailers_streamlined', 'metro_interest_rates']). Auto-scored via source-hit + gold-number-match + keyword-overlap heuristic (see tests/test_queries.py:score_answer). Human reviewer should verify.</t>
        </is>
      </c>
      <c r="L146" s="58" t="n"/>
      <c r="M146" s="74" t="n"/>
    </row>
    <row r="147" ht="35.05" customHeight="1" s="44">
      <c r="A147" s="56" t="inlineStr">
        <is>
          <t>MET-21</t>
        </is>
      </c>
      <c r="B147" s="67" t="inlineStr">
        <is>
          <t>Metro</t>
        </is>
      </c>
      <c r="C147" s="56" t="inlineStr">
        <is>
          <t>EXCLUSIONS</t>
        </is>
      </c>
      <c r="D147" s="56" t="inlineStr">
        <is>
          <t>Does Metro allow sale and hire back under its streamlined products?</t>
        </is>
      </c>
      <c r="E147" s="56" t="inlineStr">
        <is>
          <t>No. Sale/hire back is not permitted under Metro's streamlined products. A 0.75% sale/hire back loading appears on the rate sheet for non-streamlined deals.</t>
        </is>
      </c>
      <c r="F147" s="69">
        <f>IFERROR(INDEX(ModelAnswers!$F$2:$F$176,MATCH($A147,ModelAnswers!$A$2:$A$176,0)),"")</f>
        <v/>
      </c>
      <c r="G147" s="70" t="inlineStr">
        <is>
          <t>metro_exclusions</t>
        </is>
      </c>
      <c r="H147" s="71">
        <f>IFERROR(INDEX(ModelAnswers!$G$2:$G$176,MATCH($A147,ModelAnswers!$A$2:$A$176,0)),"")</f>
        <v/>
      </c>
      <c r="I147" s="72">
        <f>IF($H147="","",IF(EXACT(TRIM($G147),TRIM($H147)),1,0))</f>
        <v/>
      </c>
      <c r="J147" s="73" t="n">
        <v>2</v>
      </c>
      <c r="K147" s="58" t="inlineStr">
        <is>
          <t>Retrieval: HIT (expected metro_exclusions, got ['metro_exclusions', 'metro_other_equipment_streamlined', 'metro_replacement_policy', 'metro_passenger_vehicle_streamlined', 'metro_trucks_trailers_streamlined']). Auto-scored via source-hit + gold-number-match + keyword-overlap heuristic (see tests/test_queries.py:score_answer). Human reviewer should verify.</t>
        </is>
      </c>
      <c r="L147" s="58" t="n"/>
      <c r="M147" s="74" t="n"/>
    </row>
    <row r="148" ht="46.25" customHeight="1" s="44">
      <c r="A148" s="56" t="inlineStr">
        <is>
          <t>MET-22</t>
        </is>
      </c>
      <c r="B148" s="67" t="inlineStr">
        <is>
          <t>Metro</t>
        </is>
      </c>
      <c r="C148" s="56" t="inlineStr">
        <is>
          <t>ASSET_ELIGIBILITY</t>
        </is>
      </c>
      <c r="D148" s="56" t="inlineStr">
        <is>
          <t>Can Metro finance IT and audio-visual equipment under the Other Equipment product?</t>
        </is>
      </c>
      <c r="E148" s="56" t="inlineStr">
        <is>
          <t>No. IT, AV, telephony and printing equipment are explicitly non-eligible under Metro's Other Equipment streamlined product, along with fixtures &amp; fittings, retail/health/beauty/fitness, mining, and intangible assets.</t>
        </is>
      </c>
      <c r="F148" s="69">
        <f>IFERROR(INDEX(ModelAnswers!$F$2:$F$176,MATCH($A148,ModelAnswers!$A$2:$A$176,0)),"")</f>
        <v/>
      </c>
      <c r="G148" s="70" t="inlineStr">
        <is>
          <t>metro_other_equipment_streamlined</t>
        </is>
      </c>
      <c r="H148" s="71">
        <f>IFERROR(INDEX(ModelAnswers!$G$2:$G$176,MATCH($A148,ModelAnswers!$A$2:$A$176,0)),"")</f>
        <v/>
      </c>
      <c r="I148" s="72">
        <f>IF($H148="","",IF(EXACT(TRIM($G148),TRIM($H148)),1,0))</f>
        <v/>
      </c>
      <c r="J148" s="73" t="n">
        <v>4</v>
      </c>
      <c r="K148" s="58" t="inlineStr">
        <is>
          <t>Retrieval: HIT (expected metro_other_equipment_streamlined, got ['metro_other_equipment_streamlined', 'metro_exclusions', 'metro_trucks_trailers_streamlined', 'metro_passenger_vehicle_streamlined', 'metro_agri_streamlined']). Auto-scored via source-hit + gold-number-match + keyword-overlap heuristic (see tests/test_queries.py:score_answer). Human reviewer should verify.</t>
        </is>
      </c>
      <c r="L148" s="58" t="n"/>
      <c r="M148" s="74" t="n"/>
    </row>
    <row r="149" ht="46.25" customHeight="1" s="44">
      <c r="A149" s="56" t="inlineStr">
        <is>
          <t>MET-23</t>
        </is>
      </c>
      <c r="B149" s="67" t="inlineStr">
        <is>
          <t>Metro</t>
        </is>
      </c>
      <c r="C149" s="56" t="inlineStr">
        <is>
          <t>SPECIAL_PROGRAMS</t>
        </is>
      </c>
      <c r="D149" s="56" t="inlineStr">
        <is>
          <t>Does MetroEco finance hybrid vehicles?</t>
        </is>
      </c>
      <c r="E149" s="56" t="inlineStr">
        <is>
          <t>No. MetroEco electric trucks explicitly exclude biofuel powered or hybrid vehicles. MetroEco electric vehicle eligibility requires the vehicle be solely powered by electricity and use an external electrical plug to charge the battery.</t>
        </is>
      </c>
      <c r="F149" s="69">
        <f>IFERROR(INDEX(ModelAnswers!$F$2:$F$176,MATCH($A149,ModelAnswers!$A$2:$A$176,0)),"")</f>
        <v/>
      </c>
      <c r="G149" s="70" t="inlineStr">
        <is>
          <t>metro_eco</t>
        </is>
      </c>
      <c r="H149" s="71">
        <f>IFERROR(INDEX(ModelAnswers!$G$2:$G$176,MATCH($A149,ModelAnswers!$A$2:$A$176,0)),"")</f>
        <v/>
      </c>
      <c r="I149" s="72">
        <f>IF($H149="","",IF(EXACT(TRIM($G149),TRIM($H149)),1,0))</f>
        <v/>
      </c>
      <c r="J149" s="73" t="n">
        <v>3</v>
      </c>
      <c r="K149" s="58" t="inlineStr">
        <is>
          <t>Retrieval: HIT (expected metro_eco, got ['metro_eco', 'metro_exclusions', 'metro_passenger_vehicle_streamlined', 'metro_other_equipment_streamlined', 'metro_interest_rates']). Auto-scored via source-hit + gold-number-match + keyword-overlap heuristic (see tests/test_queries.py:score_answer). Human reviewer should verify.</t>
        </is>
      </c>
      <c r="L149" s="58" t="n"/>
      <c r="M149" s="74" t="n"/>
    </row>
    <row r="150" ht="35.05" customHeight="1" s="44">
      <c r="A150" s="56" t="inlineStr">
        <is>
          <t>MET-24</t>
        </is>
      </c>
      <c r="B150" s="67" t="inlineStr">
        <is>
          <t>Metro</t>
        </is>
      </c>
      <c r="C150" s="56" t="inlineStr">
        <is>
          <t>SPECIAL_PROGRAMS</t>
        </is>
      </c>
      <c r="D150" s="56" t="inlineStr">
        <is>
          <t>Are taxi and Uber applications accepted by Metro?</t>
        </is>
      </c>
      <c r="E150" s="56" t="inlineStr">
        <is>
          <t>Yes, but with restrictions: taxi / Uber / ride share applications have a maximum customer exposure of $250,000 and must be property backed.</t>
        </is>
      </c>
      <c r="F150" s="69">
        <f>IFERROR(INDEX(ModelAnswers!$F$2:$F$176,MATCH($A150,ModelAnswers!$A$2:$A$176,0)),"")</f>
        <v/>
      </c>
      <c r="G150" s="70" t="inlineStr">
        <is>
          <t>metro_passenger_vehicle_streamlined</t>
        </is>
      </c>
      <c r="H150" s="71">
        <f>IFERROR(INDEX(ModelAnswers!$G$2:$G$176,MATCH($A150,ModelAnswers!$A$2:$A$176,0)),"")</f>
        <v/>
      </c>
      <c r="I150" s="72">
        <f>IF($H150="","",IF(EXACT(TRIM($G150),TRIM($H150)),1,0))</f>
        <v/>
      </c>
      <c r="J150" s="73" t="n">
        <v>4</v>
      </c>
      <c r="K150" s="58" t="inlineStr">
        <is>
          <t>Retrieval: HIT (expected metro_passenger_vehicle_streamlined, got ['metro_passenger_vehicle_streamlined', 'metro_exclusions', 'metro_replacement_policy', 'metro_eco', 'metro_interest_rates']). Auto-scored via source-hit + gold-number-match + keyword-overlap heuristic (see tests/test_queries.py:score_answer). Human reviewer should verify.</t>
        </is>
      </c>
      <c r="L150" s="58" t="n"/>
      <c r="M150" s="74" t="n"/>
    </row>
    <row r="151" ht="23.85" customHeight="1" s="44">
      <c r="A151" s="56" t="inlineStr">
        <is>
          <t>MET-25</t>
        </is>
      </c>
      <c r="B151" s="67" t="inlineStr">
        <is>
          <t>Metro</t>
        </is>
      </c>
      <c r="C151" s="56" t="inlineStr">
        <is>
          <t>LOAN_LIMITS</t>
        </is>
      </c>
      <c r="D151" s="56" t="inlineStr">
        <is>
          <t>What is Metro's maximum single asset and customer exposure?</t>
        </is>
      </c>
      <c r="E151" s="56" t="inlineStr">
        <is>
          <t>Metro's rate sheet states single assets up to $1m and customer exposure up to $2m.</t>
        </is>
      </c>
      <c r="F151" s="69">
        <f>IFERROR(INDEX(ModelAnswers!$F$2:$F$176,MATCH($A151,ModelAnswers!$A$2:$A$176,0)),"")</f>
        <v/>
      </c>
      <c r="G151" s="70" t="inlineStr">
        <is>
          <t>metro_interest_rates</t>
        </is>
      </c>
      <c r="H151" s="71">
        <f>IFERROR(INDEX(ModelAnswers!$G$2:$G$176,MATCH($A151,ModelAnswers!$A$2:$A$176,0)),"")</f>
        <v/>
      </c>
      <c r="I151" s="72">
        <f>IF($H151="","",IF(EXACT(TRIM($G151),TRIM($H151)),1,0))</f>
        <v/>
      </c>
      <c r="J151" s="73" t="n">
        <v>4</v>
      </c>
      <c r="K151" s="58" t="inlineStr">
        <is>
          <t>Retrieval: HIT (expected metro_interest_rates, got ['metro_passenger_vehicle_streamlined', 'metro_trucks_trailers_streamlined', 'metro_other_equipment_streamlined', 'metro_replacement_policy', 'metro_balloon_refinance', 'metro_interest_rates']). Auto-scored via source-hit + gold-number-match + keyword-overlap heuristic (see tests/test_queries.py:score_answer). Human reviewer should verify.</t>
        </is>
      </c>
      <c r="L151" s="58" t="n"/>
      <c r="M151" s="74" t="n"/>
    </row>
    <row r="152" ht="57.45" customHeight="1" s="44">
      <c r="A152" s="56" t="inlineStr">
        <is>
          <t>FLX-01</t>
        </is>
      </c>
      <c r="B152" s="68" t="inlineStr">
        <is>
          <t>Flexi</t>
        </is>
      </c>
      <c r="C152" s="56" t="inlineStr">
        <is>
          <t>PRICING</t>
        </is>
      </c>
      <c r="D152" s="56" t="inlineStr">
        <is>
          <t>What is the flexipremium rate for a primary asset funded between $100,001 and $500,000?</t>
        </is>
      </c>
      <c r="E152" s="56" t="inlineStr">
        <is>
          <t>flexipremium prices primary assets at 7.30% for amounts funded between $100,001 and $500,000 (also 7.30% for $50,000–$100,000). Secondary assets in that band are 8.19%. Amounts of $500,001+ require contacting a flexicommercial BDM.</t>
        </is>
      </c>
      <c r="F152" s="69">
        <f>IFERROR(INDEX(ModelAnswers!$F$2:$F$176,MATCH($A152,ModelAnswers!$A$2:$A$176,0)),"")</f>
        <v/>
      </c>
      <c r="G152" s="70" t="inlineStr">
        <is>
          <t>flexi_flexipremium</t>
        </is>
      </c>
      <c r="H152" s="71">
        <f>IFERROR(INDEX(ModelAnswers!$G$2:$G$176,MATCH($A152,ModelAnswers!$A$2:$A$176,0)),"")</f>
        <v/>
      </c>
      <c r="I152" s="72">
        <f>IF($H152="","",IF(EXACT(TRIM($G152),TRIM($H152)),1,0))</f>
        <v/>
      </c>
      <c r="J152" s="73" t="n">
        <v>3</v>
      </c>
      <c r="K152" s="58" t="inlineStr">
        <is>
          <t>Retrieval: HIT (expected flexi_flexipremium, got ['flexi_flexipremium', 'flexi_credit_matrix', 'flexi_standard_rates', 'flexi_replacement_policy', 'flexi_fees']). Auto-scored via source-hit + gold-number-match + keyword-overlap heuristic (see tests/test_queries.py:score_answer). Human reviewer should verify.</t>
        </is>
      </c>
      <c r="L152" s="58" t="n"/>
      <c r="M152" s="74" t="n"/>
    </row>
    <row r="153" ht="57.45" customHeight="1" s="44">
      <c r="A153" s="56" t="inlineStr">
        <is>
          <t>FLX-02</t>
        </is>
      </c>
      <c r="B153" s="68" t="inlineStr">
        <is>
          <t>Flexi</t>
        </is>
      </c>
      <c r="C153" s="56" t="inlineStr">
        <is>
          <t>ELIGIBILITY</t>
        </is>
      </c>
      <c r="D153" s="56" t="inlineStr">
        <is>
          <t>What time in business does flexipremium require, and are sole traders eligible?</t>
        </is>
      </c>
      <c r="E153" s="56" t="inlineStr">
        <is>
          <t>flexipremium requires asset-backed applicants to have ABN and GST registration for a minimum of 4 years, and non-asset-backed applicants a minimum of 8 years. Eligible business structures are Companies, Trusts and Partnerships — sole traders are excluded.</t>
        </is>
      </c>
      <c r="F153" s="69">
        <f>IFERROR(INDEX(ModelAnswers!$F$2:$F$176,MATCH($A153,ModelAnswers!$A$2:$A$176,0)),"")</f>
        <v/>
      </c>
      <c r="G153" s="70" t="inlineStr">
        <is>
          <t>flexi_flexipremium</t>
        </is>
      </c>
      <c r="H153" s="71">
        <f>IFERROR(INDEX(ModelAnswers!$G$2:$G$176,MATCH($A153,ModelAnswers!$A$2:$A$176,0)),"")</f>
        <v/>
      </c>
      <c r="I153" s="72">
        <f>IF($H153="","",IF(EXACT(TRIM($G153),TRIM($H153)),1,0))</f>
        <v/>
      </c>
      <c r="J153" s="73" t="n">
        <v>3</v>
      </c>
      <c r="K153" s="58" t="inlineStr">
        <is>
          <t>Retrieval: HIT (expected flexi_flexipremium, got ['flexi_flexipremium', 'flexi_exclusions', 'flexi_credit_matrix', 'flexi_replacement_policy', 'flexi_fees']). Auto-scored via source-hit + gold-number-match + keyword-overlap heuristic (see tests/test_queries.py:score_answer). Human reviewer should verify.</t>
        </is>
      </c>
      <c r="L153" s="58" t="n"/>
      <c r="M153" s="74" t="n"/>
    </row>
    <row r="154" ht="35.05" customHeight="1" s="44">
      <c r="A154" s="56" t="inlineStr">
        <is>
          <t>FLX-03</t>
        </is>
      </c>
      <c r="B154" s="68" t="inlineStr">
        <is>
          <t>Flexi</t>
        </is>
      </c>
      <c r="C154" s="56" t="inlineStr">
        <is>
          <t>PRICING</t>
        </is>
      </c>
      <c r="D154" s="56" t="inlineStr">
        <is>
          <t>What is flexicommercial's standard base rate for a primary asset above $150,001?</t>
        </is>
      </c>
      <c r="E154" s="56" t="inlineStr">
        <is>
          <t>For primary assets of $150,001+, flexicommercial's standard base rate is 8.10% (ex brokerage). Secondary is 8.35% and tertiary is 11.35% in the same band.</t>
        </is>
      </c>
      <c r="F154" s="69">
        <f>IFERROR(INDEX(ModelAnswers!$F$2:$F$176,MATCH($A154,ModelAnswers!$A$2:$A$176,0)),"")</f>
        <v/>
      </c>
      <c r="G154" s="70" t="inlineStr">
        <is>
          <t>flexi_standard_rates</t>
        </is>
      </c>
      <c r="H154" s="71">
        <f>IFERROR(INDEX(ModelAnswers!$G$2:$G$176,MATCH($A154,ModelAnswers!$A$2:$A$176,0)),"")</f>
        <v/>
      </c>
      <c r="I154" s="72">
        <f>IF($H154="","",IF(EXACT(TRIM($G154),TRIM($H154)),1,0))</f>
        <v/>
      </c>
      <c r="J154" s="73" t="n">
        <v>3</v>
      </c>
      <c r="K154" s="58" t="inlineStr">
        <is>
          <t>Retrieval: HIT (expected flexi_standard_rates, got ['flexi_standard_rates', 'flexi_flexipremium', 'flexi_fees', 'flexi_credit_matrix', 'flexi_replacement_policy']). Auto-scored via source-hit + gold-number-match + keyword-overlap heuristic (see tests/test_queries.py:score_answer). Human reviewer should verify.</t>
        </is>
      </c>
      <c r="L154" s="58" t="n"/>
      <c r="M154" s="74" t="n"/>
    </row>
    <row r="155" ht="68.65000000000001" customHeight="1" s="44">
      <c r="A155" s="56" t="inlineStr">
        <is>
          <t>FLX-04</t>
        </is>
      </c>
      <c r="B155" s="68" t="inlineStr">
        <is>
          <t>Flexi</t>
        </is>
      </c>
      <c r="C155" s="56" t="inlineStr">
        <is>
          <t>PRICING</t>
        </is>
      </c>
      <c r="D155" s="56" t="inlineStr">
        <is>
          <t>What add-ons does flexicommercial apply to its standard base rates?</t>
        </is>
      </c>
      <c r="E155" s="56" t="inlineStr">
        <is>
          <t>flexicommercial adds 1.0% for prime movers (excluding tippers, agitators, rigid bodies), assets 11–15 years old at end of term, terms under 24 months, and private sales and refinances. It adds 1.25% for non-asset-backed customers and terms over 60 months. It adds 2.0% for assets over 15 to 20 years old at end of term.</t>
        </is>
      </c>
      <c r="F155" s="69">
        <f>IFERROR(INDEX(ModelAnswers!$F$2:$F$176,MATCH($A155,ModelAnswers!$A$2:$A$176,0)),"")</f>
        <v/>
      </c>
      <c r="G155" s="70" t="inlineStr">
        <is>
          <t>flexi_standard_rates</t>
        </is>
      </c>
      <c r="H155" s="71">
        <f>IFERROR(INDEX(ModelAnswers!$G$2:$G$176,MATCH($A155,ModelAnswers!$A$2:$A$176,0)),"")</f>
        <v/>
      </c>
      <c r="I155" s="72">
        <f>IF($H155="","",IF(EXACT(TRIM($G155),TRIM($H155)),1,0))</f>
        <v/>
      </c>
      <c r="J155" s="73" t="n">
        <v>4</v>
      </c>
      <c r="K155" s="58" t="inlineStr">
        <is>
          <t>Retrieval: HIT (expected flexi_standard_rates, got ['flexi_standard_rates', 'flexi_fees', 'flexi_flexipremium', 'flexi_replacement_policy', 'flexi_credit_matrix']). Auto-scored via source-hit + gold-number-match + keyword-overlap heuristic (see tests/test_queries.py:score_answer). Human reviewer should verify.</t>
        </is>
      </c>
      <c r="L155" s="58" t="n"/>
      <c r="M155" s="74" t="n"/>
    </row>
    <row r="156" ht="57.45" customHeight="1" s="44">
      <c r="A156" s="56" t="inlineStr">
        <is>
          <t>FLX-05</t>
        </is>
      </c>
      <c r="B156" s="68" t="inlineStr">
        <is>
          <t>Flexi</t>
        </is>
      </c>
      <c r="C156" s="56" t="inlineStr">
        <is>
          <t>LOAN_LIMITS</t>
        </is>
      </c>
      <c r="D156" s="56" t="inlineStr">
        <is>
          <t>What are flexicommercial's maximum exposures by asset class?</t>
        </is>
      </c>
      <c r="E156" s="56" t="inlineStr">
        <is>
          <t>flexicommercial's Credit Matrix allows Primary Assets up to $750K (individual transactions up to $500K), Secondary Assets up to $500K (individual transactions up to $300K), and Tertiary Assets up to $300K (individual transactions up to $300K).</t>
        </is>
      </c>
      <c r="F156" s="69">
        <f>IFERROR(INDEX(ModelAnswers!$F$2:$F$176,MATCH($A156,ModelAnswers!$A$2:$A$176,0)),"")</f>
        <v/>
      </c>
      <c r="G156" s="70" t="inlineStr">
        <is>
          <t>flexi_credit_matrix</t>
        </is>
      </c>
      <c r="H156" s="71">
        <f>IFERROR(INDEX(ModelAnswers!$G$2:$G$176,MATCH($A156,ModelAnswers!$A$2:$A$176,0)),"")</f>
        <v/>
      </c>
      <c r="I156" s="72">
        <f>IF($H156="","",IF(EXACT(TRIM($G156),TRIM($H156)),1,0))</f>
        <v/>
      </c>
      <c r="J156" s="73" t="n">
        <v>3</v>
      </c>
      <c r="K156" s="58" t="inlineStr">
        <is>
          <t>Retrieval: HIT (expected flexi_credit_matrix, got ['flexi_credit_matrix', 'flexi_asset_categories', 'flexi_standard_rates', 'flexi_exclusions', 'flexi_fees']). Auto-scored via source-hit + gold-number-match + keyword-overlap heuristic (see tests/test_queries.py:score_answer). Human reviewer should verify.</t>
        </is>
      </c>
      <c r="L156" s="58" t="n"/>
      <c r="M156" s="74" t="n"/>
    </row>
    <row r="157" ht="35.05" customHeight="1" s="44">
      <c r="A157" s="56" t="inlineStr">
        <is>
          <t>FLX-06</t>
        </is>
      </c>
      <c r="B157" s="68" t="inlineStr">
        <is>
          <t>Flexi</t>
        </is>
      </c>
      <c r="C157" s="56" t="inlineStr">
        <is>
          <t>ASSET_ELIGIBILITY</t>
        </is>
      </c>
      <c r="D157" s="56" t="inlineStr">
        <is>
          <t>Does flexicommercial fund SUVs or passenger cars?</t>
        </is>
      </c>
      <c r="E157" s="56" t="inlineStr">
        <is>
          <t>No. flexicommercial explicitly does not fund SUVs or passenger cars, including rental car businesses. It also does not fund photocopiers, MFDs or scaffolding.</t>
        </is>
      </c>
      <c r="F157" s="69">
        <f>IFERROR(INDEX(ModelAnswers!$F$2:$F$176,MATCH($A157,ModelAnswers!$A$2:$A$176,0)),"")</f>
        <v/>
      </c>
      <c r="G157" s="70" t="inlineStr">
        <is>
          <t>flexi_asset_categories</t>
        </is>
      </c>
      <c r="H157" s="71">
        <f>IFERROR(INDEX(ModelAnswers!$G$2:$G$176,MATCH($A157,ModelAnswers!$A$2:$A$176,0)),"")</f>
        <v/>
      </c>
      <c r="I157" s="72">
        <f>IF($H157="","",IF(EXACT(TRIM($G157),TRIM($H157)),1,0))</f>
        <v/>
      </c>
      <c r="J157" s="73" t="n">
        <v>4</v>
      </c>
      <c r="K157" s="58" t="inlineStr">
        <is>
          <t>Retrieval: HIT (expected flexi_asset_categories, got ['flexi_exclusions', 'flexi_asset_categories', 'flexi_flexipremium', 'flexi_replacement_policy', 'flexi_credit_matrix']). Auto-scored via source-hit + gold-number-match + keyword-overlap heuristic (see tests/test_queries.py:score_answer). Human reviewer should verify.</t>
        </is>
      </c>
      <c r="L157" s="58" t="n"/>
      <c r="M157" s="74" t="n"/>
    </row>
    <row r="158" ht="35.05" customHeight="1" s="44">
      <c r="A158" s="56" t="inlineStr">
        <is>
          <t>FLX-07</t>
        </is>
      </c>
      <c r="B158" s="68" t="inlineStr">
        <is>
          <t>Flexi</t>
        </is>
      </c>
      <c r="C158" s="56" t="inlineStr">
        <is>
          <t>ASSET_ELIGIBILITY</t>
        </is>
      </c>
      <c r="D158" s="56" t="inlineStr">
        <is>
          <t>How old can a primary asset be at end of term at flexicommercial?</t>
        </is>
      </c>
      <c r="E158" s="56" t="inlineStr">
        <is>
          <t>Primary assets must not exceed 20 years at end of term, with trailers permitted up to 30 years. Secondary assets can be up to 7 years old at end of term.</t>
        </is>
      </c>
      <c r="F158" s="69">
        <f>IFERROR(INDEX(ModelAnswers!$F$2:$F$176,MATCH($A158,ModelAnswers!$A$2:$A$176,0)),"")</f>
        <v/>
      </c>
      <c r="G158" s="70" t="inlineStr">
        <is>
          <t>flexi_asset_categories</t>
        </is>
      </c>
      <c r="H158" s="71">
        <f>IFERROR(INDEX(ModelAnswers!$G$2:$G$176,MATCH($A158,ModelAnswers!$A$2:$A$176,0)),"")</f>
        <v/>
      </c>
      <c r="I158" s="72">
        <f>IF($H158="","",IF(EXACT(TRIM($G158),TRIM($H158)),1,0))</f>
        <v/>
      </c>
      <c r="J158" s="73" t="n">
        <v>2</v>
      </c>
      <c r="K158" s="58" t="inlineStr">
        <is>
          <t>Retrieval: HIT (expected flexi_asset_categories, got ['flexi_asset_categories', 'flexi_flexipremium', 'flexi_replacement_policy', 'flexi_credit_matrix', 'flexi_exclusions']). Auto-scored via source-hit + gold-number-match + keyword-overlap heuristic (see tests/test_queries.py:score_answer). Human reviewer should verify.</t>
        </is>
      </c>
      <c r="L158" s="58" t="n"/>
      <c r="M158" s="74" t="n"/>
    </row>
    <row r="159" ht="57.45" customHeight="1" s="44">
      <c r="A159" s="56" t="inlineStr">
        <is>
          <t>FLX-08</t>
        </is>
      </c>
      <c r="B159" s="68" t="inlineStr">
        <is>
          <t>Flexi</t>
        </is>
      </c>
      <c r="C159" s="56" t="inlineStr">
        <is>
          <t>SPECIAL_PROGRAMS</t>
        </is>
      </c>
      <c r="D159" s="56" t="inlineStr">
        <is>
          <t>What is the maximum transaction size and repayment increase under flexireplacement?</t>
        </is>
      </c>
      <c r="E159" s="56" t="inlineStr">
        <is>
          <t>flexireplacement allows a maximum transaction size / aggregated exposure of $500K (including existing matrix exposure). The proposed repayment must not exceed 125% of that being replaced. It covers primary assets only, with dealer or private sales acceptable.</t>
        </is>
      </c>
      <c r="F159" s="69">
        <f>IFERROR(INDEX(ModelAnswers!$F$2:$F$176,MATCH($A159,ModelAnswers!$A$2:$A$176,0)),"")</f>
        <v/>
      </c>
      <c r="G159" s="70" t="inlineStr">
        <is>
          <t>flexi_replacement_policy</t>
        </is>
      </c>
      <c r="H159" s="71">
        <f>IFERROR(INDEX(ModelAnswers!$G$2:$G$176,MATCH($A159,ModelAnswers!$A$2:$A$176,0)),"")</f>
        <v/>
      </c>
      <c r="I159" s="72">
        <f>IF($H159="","",IF(EXACT(TRIM($G159),TRIM($H159)),1,0))</f>
        <v/>
      </c>
      <c r="J159" s="73" t="n">
        <v>4</v>
      </c>
      <c r="K159" s="58" t="inlineStr">
        <is>
          <t>Retrieval: HIT (expected flexi_replacement_policy, got ['flexi_replacement_policy', 'flexi_credit_matrix', 'flexi_fees', 'flexi_flexipremium', 'flexi_standard_rates', 'flexi_refinance_products']). Auto-scored via source-hit + gold-number-match + keyword-overlap heuristic (see tests/test_queries.py:score_answer). Human reviewer should verify.</t>
        </is>
      </c>
      <c r="L159" s="58" t="n"/>
      <c r="M159" s="74" t="n"/>
    </row>
    <row r="160" ht="68.65000000000001" customHeight="1" s="44">
      <c r="A160" s="56" t="inlineStr">
        <is>
          <t>FLX-09</t>
        </is>
      </c>
      <c r="B160" s="68" t="inlineStr">
        <is>
          <t>Flexi</t>
        </is>
      </c>
      <c r="C160" s="56" t="inlineStr">
        <is>
          <t>SPECIAL_PROGRAMS</t>
        </is>
      </c>
      <c r="D160" s="56" t="inlineStr">
        <is>
          <t>Under flexireplacement, what conditions apply to the facility being replaced?</t>
        </is>
      </c>
      <c r="E160" s="56" t="inlineStr">
        <is>
          <t>The facility to be replaced must be with an approved lender, and either current or paid in full within the last three months, after having been established for 18 months or more. Borrowing and guarantee parties on the old and new facility must be identical, and settlement of the new facility must occur within 90 days of the expiry of the old facility.</t>
        </is>
      </c>
      <c r="F160" s="69">
        <f>IFERROR(INDEX(ModelAnswers!$F$2:$F$176,MATCH($A160,ModelAnswers!$A$2:$A$176,0)),"")</f>
        <v/>
      </c>
      <c r="G160" s="70" t="inlineStr">
        <is>
          <t>flexi_replacement_policy</t>
        </is>
      </c>
      <c r="H160" s="71">
        <f>IFERROR(INDEX(ModelAnswers!$G$2:$G$176,MATCH($A160,ModelAnswers!$A$2:$A$176,0)),"")</f>
        <v/>
      </c>
      <c r="I160" s="72">
        <f>IF($H160="","",IF(EXACT(TRIM($G160),TRIM($H160)),1,0))</f>
        <v/>
      </c>
      <c r="J160" s="73" t="n">
        <v>3</v>
      </c>
      <c r="K160" s="58" t="inlineStr">
        <is>
          <t>Retrieval: HIT (expected flexi_replacement_policy, got ['flexi_replacement_policy', 'flexi_flexipremium', 'flexi_refinance_products', 'flexi_exclusions', 'flexi_asset_categories']). Auto-scored via source-hit + gold-number-match + keyword-overlap heuristic (see tests/test_queries.py:score_answer). Human reviewer should verify.</t>
        </is>
      </c>
      <c r="L160" s="58" t="n"/>
      <c r="M160" s="74" t="n"/>
    </row>
    <row r="161" ht="35.05" customHeight="1" s="44">
      <c r="A161" s="56" t="inlineStr">
        <is>
          <t>FLX-10</t>
        </is>
      </c>
      <c r="B161" s="68" t="inlineStr">
        <is>
          <t>Flexi</t>
        </is>
      </c>
      <c r="C161" s="56" t="inlineStr">
        <is>
          <t>FEES</t>
        </is>
      </c>
      <c r="D161" s="56" t="inlineStr">
        <is>
          <t>What is flexicommercial's establishment fee?</t>
        </is>
      </c>
      <c r="E161" s="56" t="inlineStr">
        <is>
          <t>flexicommercial charges an establishment fee of $495 on all products, rising to $745 for private sales and refinances. The minimum deal size is $10,000.</t>
        </is>
      </c>
      <c r="F161" s="69">
        <f>IFERROR(INDEX(ModelAnswers!$F$2:$F$176,MATCH($A161,ModelAnswers!$A$2:$A$176,0)),"")</f>
        <v/>
      </c>
      <c r="G161" s="70" t="inlineStr">
        <is>
          <t>flexi_fees</t>
        </is>
      </c>
      <c r="H161" s="71">
        <f>IFERROR(INDEX(ModelAnswers!$G$2:$G$176,MATCH($A161,ModelAnswers!$A$2:$A$176,0)),"")</f>
        <v/>
      </c>
      <c r="I161" s="72">
        <f>IF($H161="","",IF(EXACT(TRIM($G161),TRIM($H161)),1,0))</f>
        <v/>
      </c>
      <c r="J161" s="73" t="n">
        <v>2</v>
      </c>
      <c r="K161" s="58" t="inlineStr">
        <is>
          <t>Retrieval: HIT (expected flexi_fees, got ['flexi_fees', 'flexi_flexipremium', 'flexi_standard_rates', 'flexi_credit_matrix', 'flexi_replacement_policy']). Auto-scored via source-hit + gold-number-match + keyword-overlap heuristic (see tests/test_queries.py:score_answer). Human reviewer should verify.</t>
        </is>
      </c>
      <c r="L161" s="58" t="n"/>
      <c r="M161" s="74" t="n"/>
    </row>
    <row r="162" ht="46.25" customHeight="1" s="44">
      <c r="A162" s="56" t="inlineStr">
        <is>
          <t>FLX-11</t>
        </is>
      </c>
      <c r="B162" s="68" t="inlineStr">
        <is>
          <t>Flexi</t>
        </is>
      </c>
      <c r="C162" s="56" t="inlineStr">
        <is>
          <t>FEES</t>
        </is>
      </c>
      <c r="D162" s="56" t="inlineStr">
        <is>
          <t>What is flexicommercial's maximum brokerage on a deal of $60,000?</t>
        </is>
      </c>
      <c r="E162" s="56" t="inlineStr">
        <is>
          <t>For deals of $50,000 or more, maximum brokerage is 6%, and 0.5% is added to the base rate for every 1% of brokerage charged above 4% (up to 6%). Deals under $50,000 allow up to 8% brokerage, with the escalation starting above 5%.</t>
        </is>
      </c>
      <c r="F162" s="69">
        <f>IFERROR(INDEX(ModelAnswers!$F$2:$F$176,MATCH($A162,ModelAnswers!$A$2:$A$176,0)),"")</f>
        <v/>
      </c>
      <c r="G162" s="70" t="inlineStr">
        <is>
          <t>flexi_fees</t>
        </is>
      </c>
      <c r="H162" s="71">
        <f>IFERROR(INDEX(ModelAnswers!$G$2:$G$176,MATCH($A162,ModelAnswers!$A$2:$A$176,0)),"")</f>
        <v/>
      </c>
      <c r="I162" s="72">
        <f>IF($H162="","",IF(EXACT(TRIM($G162),TRIM($H162)),1,0))</f>
        <v/>
      </c>
      <c r="J162" s="73" t="n">
        <v>3</v>
      </c>
      <c r="K162" s="58" t="inlineStr">
        <is>
          <t>Retrieval: HIT (expected flexi_fees, got ['flexi_fees', 'flexi_standard_rates', 'flexi_flexipremium', 'flexi_credit_matrix', 'flexi_exclusions']). Auto-scored via source-hit + gold-number-match + keyword-overlap heuristic (see tests/test_queries.py:score_answer). Human reviewer should verify.</t>
        </is>
      </c>
      <c r="L162" s="58" t="n"/>
      <c r="M162" s="74" t="n"/>
    </row>
    <row r="163" ht="46.25" customHeight="1" s="44">
      <c r="A163" s="56" t="inlineStr">
        <is>
          <t>FLX-12</t>
        </is>
      </c>
      <c r="B163" s="68" t="inlineStr">
        <is>
          <t>Flexi</t>
        </is>
      </c>
      <c r="C163" s="56" t="inlineStr">
        <is>
          <t>ASSET_ELIGIBILITY</t>
        </is>
      </c>
      <c r="D163" s="56" t="inlineStr">
        <is>
          <t>How old can assets be under flexipremium?</t>
        </is>
      </c>
      <c r="E163" s="56" t="inlineStr">
        <is>
          <t>Under flexipremium, primary assets can be up to 5 years old (Contract Road Transport/Logistics businesses operating 5 or more trucks can be considered), and secondary assets up to 2 years old. Both new and used assets are eligible.</t>
        </is>
      </c>
      <c r="F163" s="69">
        <f>IFERROR(INDEX(ModelAnswers!$F$2:$F$176,MATCH($A163,ModelAnswers!$A$2:$A$176,0)),"")</f>
        <v/>
      </c>
      <c r="G163" s="70" t="inlineStr">
        <is>
          <t>flexi_flexipremium</t>
        </is>
      </c>
      <c r="H163" s="71">
        <f>IFERROR(INDEX(ModelAnswers!$G$2:$G$176,MATCH($A163,ModelAnswers!$A$2:$A$176,0)),"")</f>
        <v/>
      </c>
      <c r="I163" s="72">
        <f>IF($H163="","",IF(EXACT(TRIM($G163),TRIM($H163)),1,0))</f>
        <v/>
      </c>
      <c r="J163" s="73" t="n">
        <v>4</v>
      </c>
      <c r="K163" s="58" t="inlineStr">
        <is>
          <t>Retrieval: HIT (expected flexi_flexipremium, got ['flexi_flexipremium', 'flexi_asset_categories', 'flexi_replacement_policy', 'flexi_exclusions', 'flexi_credit_matrix']). Auto-scored via source-hit + gold-number-match + keyword-overlap heuristic (see tests/test_queries.py:score_answer). Human reviewer should verify.</t>
        </is>
      </c>
      <c r="L163" s="58" t="n"/>
      <c r="M163" s="74" t="n"/>
    </row>
    <row r="164" ht="79.84999999999999" customHeight="1" s="44">
      <c r="A164" s="56" t="inlineStr">
        <is>
          <t>FLX-13</t>
        </is>
      </c>
      <c r="B164" s="68" t="inlineStr">
        <is>
          <t>Flexi</t>
        </is>
      </c>
      <c r="C164" s="56" t="inlineStr">
        <is>
          <t>LOAN_LIMITS</t>
        </is>
      </c>
      <c r="D164" s="56" t="inlineStr">
        <is>
          <t>How can a flexicommercial customer increase their exposure to $750K?</t>
        </is>
      </c>
      <c r="E164" s="56" t="inlineStr">
        <is>
          <t>Primary Assets Only: after 18 payments have been made on either the flexicommercial contract or an asset finance contract with an approved lender (minimum contract amount $250K, with a statement showing perfect conduct), applications can be considered to take combined exposure to a maximum of $750K, with individual transactions to a maximum of $500K.</t>
        </is>
      </c>
      <c r="F164" s="69">
        <f>IFERROR(INDEX(ModelAnswers!$F$2:$F$176,MATCH($A164,ModelAnswers!$A$2:$A$176,0)),"")</f>
        <v/>
      </c>
      <c r="G164" s="70" t="inlineStr">
        <is>
          <t>flexi_credit_matrix</t>
        </is>
      </c>
      <c r="H164" s="71">
        <f>IFERROR(INDEX(ModelAnswers!$G$2:$G$176,MATCH($A164,ModelAnswers!$A$2:$A$176,0)),"")</f>
        <v/>
      </c>
      <c r="I164" s="72">
        <f>IF($H164="","",IF(EXACT(TRIM($G164),TRIM($H164)),1,0))</f>
        <v/>
      </c>
      <c r="J164" s="73" t="n">
        <v>4</v>
      </c>
      <c r="K164" s="58" t="inlineStr">
        <is>
          <t>Retrieval: HIT (expected flexi_credit_matrix, got ['flexi_credit_matrix', 'flexi_flexipremium', 'flexi_replacement_policy', 'flexi_fees', 'flexi_exclusions']). Auto-scored via source-hit + gold-number-match + keyword-overlap heuristic (see tests/test_queries.py:score_answer). Human reviewer should verify.</t>
        </is>
      </c>
      <c r="L164" s="58" t="n"/>
      <c r="M164" s="74" t="n"/>
    </row>
    <row r="165" ht="57.45" customHeight="1" s="44">
      <c r="A165" s="56" t="inlineStr">
        <is>
          <t>FLX-14</t>
        </is>
      </c>
      <c r="B165" s="68" t="inlineStr">
        <is>
          <t>Flexi</t>
        </is>
      </c>
      <c r="C165" s="56" t="inlineStr">
        <is>
          <t>SPECIAL_PROGRAMS</t>
        </is>
      </c>
      <c r="D165" s="56" t="inlineStr">
        <is>
          <t>What brokerage applies to a flexicommercial mid-term refinance?</t>
        </is>
      </c>
      <c r="E165" s="56" t="inlineStr">
        <is>
          <t>Brokerage on a mid-term refinance is limited to 1.0%. The customer must be at least 12 months into the term of the current contract, and the deal is refinanced at net book value with no early termination costs. Terms of up to 5 years are considered.</t>
        </is>
      </c>
      <c r="F165" s="69">
        <f>IFERROR(INDEX(ModelAnswers!$F$2:$F$176,MATCH($A165,ModelAnswers!$A$2:$A$176,0)),"")</f>
        <v/>
      </c>
      <c r="G165" s="70" t="inlineStr">
        <is>
          <t>flexi_refinance_products</t>
        </is>
      </c>
      <c r="H165" s="71">
        <f>IFERROR(INDEX(ModelAnswers!$G$2:$G$176,MATCH($A165,ModelAnswers!$A$2:$A$176,0)),"")</f>
        <v/>
      </c>
      <c r="I165" s="72">
        <f>IF($H165="","",IF(EXACT(TRIM($G165),TRIM($H165)),1,0))</f>
        <v/>
      </c>
      <c r="J165" s="73" t="n">
        <v>2</v>
      </c>
      <c r="K165" s="58" t="inlineStr">
        <is>
          <t>Retrieval: HIT (expected flexi_refinance_products, got ['flexi_refinance_products', 'flexi_standard_rates', 'flexi_flexipremium', 'flexi_exclusions', 'flexi_fees']). Auto-scored via source-hit + gold-number-match + keyword-overlap heuristic (see tests/test_queries.py:score_answer). Human reviewer should verify.</t>
        </is>
      </c>
      <c r="L165" s="58" t="n"/>
      <c r="M165" s="74" t="n"/>
    </row>
    <row r="166" ht="68.65000000000001" customHeight="1" s="44">
      <c r="A166" s="56" t="inlineStr">
        <is>
          <t>FLX-15</t>
        </is>
      </c>
      <c r="B166" s="68" t="inlineStr">
        <is>
          <t>Flexi</t>
        </is>
      </c>
      <c r="C166" s="56" t="inlineStr">
        <is>
          <t>SPECIAL_PROGRAMS</t>
        </is>
      </c>
      <c r="D166" s="56" t="inlineStr">
        <is>
          <t>How does a flexipremium Low Start Loan work?</t>
        </is>
      </c>
      <c r="E166" s="56" t="inlineStr">
        <is>
          <t>A Low Start Loan lets the business start their term paying 50% repayments for the first 3 months, then catch that up gradually over time. Conditions: the customer must qualify for flexipremium, have no cashflow lenders on file (e.g. Prospa, Moula), and must have an existing commercial asset finance facility with an approved lender.</t>
        </is>
      </c>
      <c r="F166" s="69">
        <f>IFERROR(INDEX(ModelAnswers!$F$2:$F$176,MATCH($A166,ModelAnswers!$A$2:$A$176,0)),"")</f>
        <v/>
      </c>
      <c r="G166" s="70" t="inlineStr">
        <is>
          <t>flexi_refinance_products</t>
        </is>
      </c>
      <c r="H166" s="71">
        <f>IFERROR(INDEX(ModelAnswers!$G$2:$G$176,MATCH($A166,ModelAnswers!$A$2:$A$176,0)),"")</f>
        <v/>
      </c>
      <c r="I166" s="72">
        <f>IF($H166="","",IF(EXACT(TRIM($G166),TRIM($H166)),1,0))</f>
        <v/>
      </c>
      <c r="J166" s="73" t="n">
        <v>4</v>
      </c>
      <c r="K166" s="58" t="inlineStr">
        <is>
          <t>Retrieval: HIT (expected flexi_refinance_products, got ['flexi_refinance_products', 'flexi_flexipremium', 'flexi_exclusions', 'flexi_credit_matrix', 'flexi_replacement_policy']). Auto-scored via source-hit + gold-number-match + keyword-overlap heuristic (see tests/test_queries.py:score_answer). Human reviewer should verify.</t>
        </is>
      </c>
      <c r="L166" s="58" t="n"/>
      <c r="M166" s="74" t="n"/>
    </row>
    <row r="167" ht="46.25" customHeight="1" s="44">
      <c r="A167" s="56" t="inlineStr">
        <is>
          <t>FLX-16</t>
        </is>
      </c>
      <c r="B167" s="68" t="inlineStr">
        <is>
          <t>Flexi</t>
        </is>
      </c>
      <c r="C167" s="56" t="inlineStr">
        <is>
          <t>ELIGIBILITY</t>
        </is>
      </c>
      <c r="D167" s="56" t="inlineStr">
        <is>
          <t>What ABN and GST duration does flexicommercial's Credit Matrix require?</t>
        </is>
      </c>
      <c r="E167" s="56" t="inlineStr">
        <is>
          <t>The Credit Matrix requires ABN greater than 2 years and GST registered greater than 2 years, with asset backing (sufficient equity) or a 20% deposit assessed on the proposed aggregate exposure, not just the new transaction.</t>
        </is>
      </c>
      <c r="F167" s="69">
        <f>IFERROR(INDEX(ModelAnswers!$F$2:$F$176,MATCH($A167,ModelAnswers!$A$2:$A$176,0)),"")</f>
        <v/>
      </c>
      <c r="G167" s="70" t="inlineStr">
        <is>
          <t>flexi_credit_matrix</t>
        </is>
      </c>
      <c r="H167" s="71">
        <f>IFERROR(INDEX(ModelAnswers!$G$2:$G$176,MATCH($A167,ModelAnswers!$A$2:$A$176,0)),"")</f>
        <v/>
      </c>
      <c r="I167" s="72">
        <f>IF($H167="","",IF(EXACT(TRIM($G167),TRIM($H167)),1,0))</f>
        <v/>
      </c>
      <c r="J167" s="73" t="n">
        <v>3</v>
      </c>
      <c r="K167" s="58" t="inlineStr">
        <is>
          <t>Retrieval: HIT (expected flexi_credit_matrix, got ['flexi_credit_matrix', 'flexi_flexipremium', 'flexi_replacement_policy', 'flexi_exclusions', 'flexi_fees']). Auto-scored via source-hit + gold-number-match + keyword-overlap heuristic (see tests/test_queries.py:score_answer). Human reviewer should verify.</t>
        </is>
      </c>
      <c r="L167" s="58" t="n"/>
      <c r="M167" s="74" t="n"/>
    </row>
    <row r="168" ht="46.25" customHeight="1" s="44">
      <c r="A168" s="56" t="inlineStr">
        <is>
          <t>FLX-17</t>
        </is>
      </c>
      <c r="B168" s="68" t="inlineStr">
        <is>
          <t>Flexi</t>
        </is>
      </c>
      <c r="C168" s="56" t="inlineStr">
        <is>
          <t>ASSET_ELIGIBILITY</t>
        </is>
      </c>
      <c r="D168" s="56" t="inlineStr">
        <is>
          <t>What is the maximum exposure for IT assets at flexicommercial?</t>
        </is>
      </c>
      <c r="E168" s="56" t="inlineStr">
        <is>
          <t>All IT assets are tertiary assets with a maximum exposure of $50K; full doc is acceptable for amounts over $50K. The same $50K cap applies to renewable energy and temporary fencing.</t>
        </is>
      </c>
      <c r="F168" s="69">
        <f>IFERROR(INDEX(ModelAnswers!$F$2:$F$176,MATCH($A168,ModelAnswers!$A$2:$A$176,0)),"")</f>
        <v/>
      </c>
      <c r="G168" s="70" t="inlineStr">
        <is>
          <t>flexi_asset_categories</t>
        </is>
      </c>
      <c r="H168" s="71">
        <f>IFERROR(INDEX(ModelAnswers!$G$2:$G$176,MATCH($A168,ModelAnswers!$A$2:$A$176,0)),"")</f>
        <v/>
      </c>
      <c r="I168" s="72">
        <f>IF($H168="","",IF(EXACT(TRIM($G168),TRIM($H168)),1,0))</f>
        <v/>
      </c>
      <c r="J168" s="73" t="n">
        <v>2</v>
      </c>
      <c r="K168" s="58" t="inlineStr">
        <is>
          <t>Retrieval: MISS (expected flexi_asset_categories, got ['flexi_credit_matrix', 'flexi_exclusions', 'flexi_flexipremium', 'flexi_replacement_policy', 'flexi_fees']). Auto-scored via source-hit + gold-number-match + keyword-overlap heuristic (see tests/test_queries.py:score_answer). Human reviewer should verify.</t>
        </is>
      </c>
      <c r="L168" s="58" t="n"/>
      <c r="M168" s="74" t="n"/>
    </row>
    <row r="169" ht="35.05" customHeight="1" s="44">
      <c r="A169" s="56" t="inlineStr">
        <is>
          <t>FLX-18</t>
        </is>
      </c>
      <c r="B169" s="68" t="inlineStr">
        <is>
          <t>Flexi</t>
        </is>
      </c>
      <c r="C169" s="56" t="inlineStr">
        <is>
          <t>LOAN_LIMITS</t>
        </is>
      </c>
      <c r="D169" s="56" t="inlineStr">
        <is>
          <t>What is flexicommercial's maximum loan term?</t>
        </is>
      </c>
      <c r="E169" s="56" t="inlineStr">
        <is>
          <t>The maximum term is 7 years on primary assets up to 3 years old; for all other assets the maximum term is 5 years. Terms over 60 months attract a 1.25% add-on.</t>
        </is>
      </c>
      <c r="F169" s="69">
        <f>IFERROR(INDEX(ModelAnswers!$F$2:$F$176,MATCH($A169,ModelAnswers!$A$2:$A$176,0)),"")</f>
        <v/>
      </c>
      <c r="G169" s="70" t="inlineStr">
        <is>
          <t>flexi_standard_rates</t>
        </is>
      </c>
      <c r="H169" s="71">
        <f>IFERROR(INDEX(ModelAnswers!$G$2:$G$176,MATCH($A169,ModelAnswers!$A$2:$A$176,0)),"")</f>
        <v/>
      </c>
      <c r="I169" s="72">
        <f>IF($H169="","",IF(EXACT(TRIM($G169),TRIM($H169)),1,0))</f>
        <v/>
      </c>
      <c r="J169" s="73" t="n">
        <v>2</v>
      </c>
      <c r="K169" s="58" t="inlineStr">
        <is>
          <t>Retrieval: HIT (expected flexi_standard_rates, got ['flexi_fees', 'flexi_standard_rates', 'flexi_flexipremium', 'flexi_credit_matrix', 'flexi_replacement_policy']). Auto-scored via source-hit + gold-number-match + keyword-overlap heuristic (see tests/test_queries.py:score_answer). Human reviewer should verify.</t>
        </is>
      </c>
      <c r="L169" s="58" t="n"/>
      <c r="M169" s="74" t="n"/>
    </row>
    <row r="170" ht="46.25" customHeight="1" s="44">
      <c r="A170" s="56" t="inlineStr">
        <is>
          <t>FLX-19</t>
        </is>
      </c>
      <c r="B170" s="68" t="inlineStr">
        <is>
          <t>Flexi</t>
        </is>
      </c>
      <c r="C170" s="56" t="inlineStr">
        <is>
          <t>EXCLUSIONS</t>
        </is>
      </c>
      <c r="D170" s="56" t="inlineStr">
        <is>
          <t>Are sole traders eligible at flexicommercial?</t>
        </is>
      </c>
      <c r="E170" s="56" t="inlineStr">
        <is>
          <t>Sole traders are covered by the standard Credit Matrix (which applies to Companies, Trusts, Partnerships and Sole Traders), but they are excluded from flexipremium, which is limited to Companies, Trusts and Partnerships.</t>
        </is>
      </c>
      <c r="F170" s="69">
        <f>IFERROR(INDEX(ModelAnswers!$F$2:$F$176,MATCH($A170,ModelAnswers!$A$2:$A$176,0)),"")</f>
        <v/>
      </c>
      <c r="G170" s="70" t="inlineStr">
        <is>
          <t>flexi_exclusions</t>
        </is>
      </c>
      <c r="H170" s="71">
        <f>IFERROR(INDEX(ModelAnswers!$G$2:$G$176,MATCH($A170,ModelAnswers!$A$2:$A$176,0)),"")</f>
        <v/>
      </c>
      <c r="I170" s="72">
        <f>IF($H170="","",IF(EXACT(TRIM($G170),TRIM($H170)),1,0))</f>
        <v/>
      </c>
      <c r="J170" s="73" t="n">
        <v>3</v>
      </c>
      <c r="K170" s="58" t="inlineStr">
        <is>
          <t>Retrieval: HIT (expected flexi_exclusions, got ['flexi_exclusions', 'flexi_flexipremium', 'flexi_credit_matrix', 'flexi_fees', 'flexi_standard_rates']). Auto-scored via source-hit + gold-number-match + keyword-overlap heuristic (see tests/test_queries.py:score_answer). Human reviewer should verify.</t>
        </is>
      </c>
      <c r="L170" s="58" t="n"/>
      <c r="M170" s="74" t="n"/>
    </row>
    <row r="171" ht="35.05" customHeight="1" s="44">
      <c r="A171" s="56" t="inlineStr">
        <is>
          <t>FLX-20</t>
        </is>
      </c>
      <c r="B171" s="68" t="inlineStr">
        <is>
          <t>Flexi</t>
        </is>
      </c>
      <c r="C171" s="56" t="inlineStr">
        <is>
          <t>SPECIAL_PROGRAMS</t>
        </is>
      </c>
      <c r="D171" s="56" t="inlineStr">
        <is>
          <t>Can flexireplacement be used for balloon refinances?</t>
        </is>
      </c>
      <c r="E171" s="56" t="inlineStr">
        <is>
          <t>Yes. flexireplacement can be used for balloon refinances up to $500K, with an inspection and valuation required if the amount exceeds $300K.</t>
        </is>
      </c>
      <c r="F171" s="69">
        <f>IFERROR(INDEX(ModelAnswers!$F$2:$F$176,MATCH($A171,ModelAnswers!$A$2:$A$176,0)),"")</f>
        <v/>
      </c>
      <c r="G171" s="70" t="inlineStr">
        <is>
          <t>flexi_replacement_policy</t>
        </is>
      </c>
      <c r="H171" s="71">
        <f>IFERROR(INDEX(ModelAnswers!$G$2:$G$176,MATCH($A171,ModelAnswers!$A$2:$A$176,0)),"")</f>
        <v/>
      </c>
      <c r="I171" s="72">
        <f>IF($H171="","",IF(EXACT(TRIM($G171),TRIM($H171)),1,0))</f>
        <v/>
      </c>
      <c r="J171" s="73" t="n">
        <v>4</v>
      </c>
      <c r="K171" s="58" t="inlineStr">
        <is>
          <t>Retrieval: HIT (expected flexi_replacement_policy, got ['flexi_replacement_policy', 'flexi_refinance_products', 'flexi_flexipremium', 'flexi_exclusions', 'flexi_asset_categories']). Auto-scored via source-hit + gold-number-match + keyword-overlap heuristic (see tests/test_queries.py:score_answer). Human reviewer should verify.</t>
        </is>
      </c>
      <c r="L171" s="58" t="n"/>
      <c r="M171" s="74" t="n"/>
    </row>
    <row r="172" ht="23.85" customHeight="1" s="44">
      <c r="A172" s="56" t="inlineStr">
        <is>
          <t>FLX-21</t>
        </is>
      </c>
      <c r="B172" s="68" t="inlineStr">
        <is>
          <t>Flexi</t>
        </is>
      </c>
      <c r="C172" s="56" t="inlineStr">
        <is>
          <t>ASSET_ELIGIBILITY</t>
        </is>
      </c>
      <c r="D172" s="56" t="inlineStr">
        <is>
          <t>Does flexicommercial finance passenger cars for a rental car business?</t>
        </is>
      </c>
      <c r="E172" s="56" t="inlineStr">
        <is>
          <t>No. flexicommercial explicitly does not fund SUVs or passenger cars, and this includes rental car businesses.</t>
        </is>
      </c>
      <c r="F172" s="69">
        <f>IFERROR(INDEX(ModelAnswers!$F$2:$F$176,MATCH($A172,ModelAnswers!$A$2:$A$176,0)),"")</f>
        <v/>
      </c>
      <c r="G172" s="70" t="inlineStr">
        <is>
          <t>flexi_asset_categories</t>
        </is>
      </c>
      <c r="H172" s="71">
        <f>IFERROR(INDEX(ModelAnswers!$G$2:$G$176,MATCH($A172,ModelAnswers!$A$2:$A$176,0)),"")</f>
        <v/>
      </c>
      <c r="I172" s="72">
        <f>IF($H172="","",IF(EXACT(TRIM($G172),TRIM($H172)),1,0))</f>
        <v/>
      </c>
      <c r="J172" s="73" t="n">
        <v>4</v>
      </c>
      <c r="K172" s="58" t="inlineStr">
        <is>
          <t>Retrieval: HIT (expected flexi_asset_categories, got ['flexi_exclusions', 'flexi_asset_categories', 'flexi_flexipremium', 'flexi_credit_matrix', 'flexi_standard_rates']). Auto-scored via source-hit + gold-number-match + keyword-overlap heuristic (see tests/test_queries.py:score_answer). Human reviewer should verify.</t>
        </is>
      </c>
      <c r="L172" s="58" t="n"/>
      <c r="M172" s="74" t="n"/>
    </row>
    <row r="173" ht="23.85" customHeight="1" s="44">
      <c r="A173" s="56" t="inlineStr">
        <is>
          <t>FLX-22</t>
        </is>
      </c>
      <c r="B173" s="68" t="inlineStr">
        <is>
          <t>Flexi</t>
        </is>
      </c>
      <c r="C173" s="56" t="inlineStr">
        <is>
          <t>PRICING</t>
        </is>
      </c>
      <c r="D173" s="56" t="inlineStr">
        <is>
          <t>What is the maximum brokerage on a flexipremium deal?</t>
        </is>
      </c>
      <c r="E173" s="56" t="inlineStr">
        <is>
          <t>Maximum brokerage on flexipremium deals is 3%.</t>
        </is>
      </c>
      <c r="F173" s="69">
        <f>IFERROR(INDEX(ModelAnswers!$F$2:$F$176,MATCH($A173,ModelAnswers!$A$2:$A$176,0)),"")</f>
        <v/>
      </c>
      <c r="G173" s="70" t="inlineStr">
        <is>
          <t>flexi_flexipremium</t>
        </is>
      </c>
      <c r="H173" s="71">
        <f>IFERROR(INDEX(ModelAnswers!$G$2:$G$176,MATCH($A173,ModelAnswers!$A$2:$A$176,0)),"")</f>
        <v/>
      </c>
      <c r="I173" s="72">
        <f>IF($H173="","",IF(EXACT(TRIM($G173),TRIM($H173)),1,0))</f>
        <v/>
      </c>
      <c r="J173" s="73" t="n">
        <v>4</v>
      </c>
      <c r="K173" s="58" t="inlineStr">
        <is>
          <t>Retrieval: HIT (expected flexi_flexipremium, got ['flexi_fees', 'flexi_flexipremium', 'flexi_standard_rates', 'flexi_replacement_policy', 'flexi_credit_matrix']). Auto-scored via source-hit + gold-number-match + keyword-overlap heuristic (see tests/test_queries.py:score_answer). Human reviewer should verify.</t>
        </is>
      </c>
      <c r="L173" s="58" t="n"/>
      <c r="M173" s="74" t="n"/>
    </row>
    <row r="174" ht="35.05" customHeight="1" s="44">
      <c r="A174" s="56" t="inlineStr">
        <is>
          <t>FLX-23</t>
        </is>
      </c>
      <c r="B174" s="68" t="inlineStr">
        <is>
          <t>Flexi</t>
        </is>
      </c>
      <c r="C174" s="56" t="inlineStr">
        <is>
          <t>EXCLUSIONS</t>
        </is>
      </c>
      <c r="D174" s="56" t="inlineStr">
        <is>
          <t>Do transport operators need to be asset backed at flexicommercial?</t>
        </is>
      </c>
      <c r="E174" s="56" t="inlineStr">
        <is>
          <t>Yes. Asset backing is a requirement for all transport operator/subcontractor transactions — borrowers and guarantors must be asset backed with sufficient equity.</t>
        </is>
      </c>
      <c r="F174" s="69">
        <f>IFERROR(INDEX(ModelAnswers!$F$2:$F$176,MATCH($A174,ModelAnswers!$A$2:$A$176,0)),"")</f>
        <v/>
      </c>
      <c r="G174" s="70" t="inlineStr">
        <is>
          <t>flexi_exclusions</t>
        </is>
      </c>
      <c r="H174" s="71">
        <f>IFERROR(INDEX(ModelAnswers!$G$2:$G$176,MATCH($A174,ModelAnswers!$A$2:$A$176,0)),"")</f>
        <v/>
      </c>
      <c r="I174" s="72">
        <f>IF($H174="","",IF(EXACT(TRIM($G174),TRIM($H174)),1,0))</f>
        <v/>
      </c>
      <c r="J174" s="73" t="n">
        <v>4</v>
      </c>
      <c r="K174" s="58" t="inlineStr">
        <is>
          <t>Retrieval: HIT (expected flexi_exclusions, got ['flexi_exclusions', 'flexi_asset_categories', 'flexi_flexipremium', 'flexi_credit_matrix', 'flexi_replacement_policy']). Auto-scored via source-hit + gold-number-match + keyword-overlap heuristic (see tests/test_queries.py:score_answer). Human reviewer should verify.</t>
        </is>
      </c>
      <c r="L174" s="58" t="n"/>
      <c r="M174" s="74" t="n"/>
    </row>
    <row r="175" ht="15" customHeight="1" s="44">
      <c r="A175" s="56" t="inlineStr">
        <is>
          <t>FLX-24</t>
        </is>
      </c>
      <c r="B175" s="68" t="inlineStr">
        <is>
          <t>Flexi</t>
        </is>
      </c>
      <c r="C175" s="56" t="inlineStr">
        <is>
          <t>PRICING</t>
        </is>
      </c>
      <c r="D175" s="56" t="inlineStr">
        <is>
          <t>What is flexicommercial's minimum deal size?</t>
        </is>
      </c>
      <c r="E175" s="56" t="inlineStr">
        <is>
          <t>flexicommercial's minimum deal size is $10,000.</t>
        </is>
      </c>
      <c r="F175" s="69">
        <f>IFERROR(INDEX(ModelAnswers!$F$2:$F$176,MATCH($A175,ModelAnswers!$A$2:$A$176,0)),"")</f>
        <v/>
      </c>
      <c r="G175" s="70" t="inlineStr">
        <is>
          <t>flexi_standard_rates</t>
        </is>
      </c>
      <c r="H175" s="71">
        <f>IFERROR(INDEX(ModelAnswers!$G$2:$G$176,MATCH($A175,ModelAnswers!$A$2:$A$176,0)),"")</f>
        <v/>
      </c>
      <c r="I175" s="72">
        <f>IF($H175="","",IF(EXACT(TRIM($G175),TRIM($H175)),1,0))</f>
        <v/>
      </c>
      <c r="J175" s="73" t="n">
        <v>3</v>
      </c>
      <c r="K175" s="58" t="inlineStr">
        <is>
          <t>Retrieval: HIT (expected flexi_standard_rates, got ['flexi_fees', 'flexi_flexipremium', 'flexi_standard_rates', 'flexi_credit_matrix', 'flexi_replacement_policy']). Auto-scored via source-hit + gold-number-match + keyword-overlap heuristic (see tests/test_queries.py:score_answer). Human reviewer should verify.</t>
        </is>
      </c>
      <c r="L175" s="58" t="n"/>
      <c r="M175" s="74" t="n"/>
    </row>
    <row r="176" ht="35.05" customHeight="1" s="44">
      <c r="A176" s="56" t="inlineStr">
        <is>
          <t>FLX-25</t>
        </is>
      </c>
      <c r="B176" s="68" t="inlineStr">
        <is>
          <t>Flexi</t>
        </is>
      </c>
      <c r="C176" s="56" t="inlineStr">
        <is>
          <t>ASSET_ELIGIBILITY</t>
        </is>
      </c>
      <c r="D176" s="56" t="inlineStr">
        <is>
          <t>How does flexicommercial classify medical and dental equipment?</t>
        </is>
      </c>
      <c r="E176" s="56" t="inlineStr">
        <is>
          <t>Medical / dental / laboratory equipment is classified as a secondary asset at flexicommercial. Secondary assets can be up to 7 years old at end of term.</t>
        </is>
      </c>
      <c r="F176" s="69">
        <f>IFERROR(INDEX(ModelAnswers!$F$2:$F$176,MATCH($A176,ModelAnswers!$A$2:$A$176,0)),"")</f>
        <v/>
      </c>
      <c r="G176" s="70" t="inlineStr">
        <is>
          <t>flexi_asset_categories</t>
        </is>
      </c>
      <c r="H176" s="71">
        <f>IFERROR(INDEX(ModelAnswers!$G$2:$G$176,MATCH($A176,ModelAnswers!$A$2:$A$176,0)),"")</f>
        <v/>
      </c>
      <c r="I176" s="72">
        <f>IF($H176="","",IF(EXACT(TRIM($G176),TRIM($H176)),1,0))</f>
        <v/>
      </c>
      <c r="J176" s="73" t="n">
        <v>2</v>
      </c>
      <c r="K176" s="58" t="inlineStr">
        <is>
          <t>Retrieval: HIT (expected flexi_asset_categories, got ['flexi_asset_categories', 'flexi_exclusions', 'flexi_flexipremium', 'flexi_refinance_products', 'flexi_credit_matrix', 'flexi_replacement_policy']). Auto-scored via source-hit + gold-number-match + keyword-overlap heuristic (see tests/test_queries.py:score_answer). Human reviewer should verify.</t>
        </is>
      </c>
      <c r="L176" s="58" t="n"/>
      <c r="M176" s="74" t="n"/>
    </row>
  </sheetData>
  <conditionalFormatting sqref="J2:J176">
    <cfRule type="cellIs" rank="0" priority="2" equalAverage="0" operator="equal" aboveAverage="0" dxfId="0" text="" percent="0" bottom="0">
      <formula>4</formula>
    </cfRule>
    <cfRule type="cellIs" rank="0" priority="3" equalAverage="0" operator="equal" aboveAverage="0" dxfId="1" text="" percent="0" bottom="0">
      <formula>3</formula>
    </cfRule>
    <cfRule type="cellIs" rank="0" priority="4" equalAverage="0" operator="equal" aboveAverage="0" dxfId="2" text="" percent="0" bottom="0">
      <formula>2</formula>
    </cfRule>
    <cfRule type="cellIs" rank="0" priority="5" equalAverage="0" operator="equal" aboveAverage="0" dxfId="3" text="" percent="0" bottom="0">
      <formula>1</formula>
    </cfRule>
  </conditionalFormatting>
  <conditionalFormatting sqref="I2:I176">
    <cfRule type="cellIs" rank="0" priority="6" equalAverage="0" operator="equal" aboveAverage="0" dxfId="0" text="" percent="0" bottom="0">
      <formula>1</formula>
    </cfRule>
    <cfRule type="cellIs" rank="0" priority="7" equalAverage="0" operator="equal" aboveAverage="0" dxfId="3" text="" percent="0" bottom="0">
      <formula>0</formula>
    </cfRule>
  </conditionalFormatting>
  <dataValidations count="1">
    <dataValidation sqref="J2:J176" showDropDown="0" showInputMessage="0" showErrorMessage="0" allowBlank="1" errorTitle="Invalid score" error="Score must be 1, 2, 3 or 4" type="list" errorStyle="stop" operator="between">
      <formula1>"1,2,3,4"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3" min="1" max="1"/>
    <col width="16" customWidth="1" style="43" min="2" max="2"/>
    <col width="18" customWidth="1" style="43" min="3" max="3"/>
    <col width="20" customWidth="1" style="43" min="4" max="4"/>
  </cols>
  <sheetData>
    <row r="1" ht="17.35" customHeight="1" s="44">
      <c r="A1" s="75" t="inlineStr">
        <is>
          <t>Accuracy Report — auto-calculated</t>
        </is>
      </c>
    </row>
    <row r="3" ht="15" customHeight="1" s="44">
      <c r="A3" s="76" t="inlineStr">
        <is>
          <t>HEADLINE METRICS</t>
        </is>
      </c>
      <c r="B3" s="76" t="inlineStr">
        <is>
          <t>Value</t>
        </is>
      </c>
      <c r="C3" s="76" t="inlineStr">
        <is>
          <t>Notes</t>
        </is>
      </c>
      <c r="D3" s="76" t="n"/>
    </row>
    <row r="4" ht="23.85" customHeight="1" s="44">
      <c r="A4" s="48" t="inlineStr">
        <is>
          <t>Questions scored</t>
        </is>
      </c>
      <c r="B4" s="77">
        <f>COUNT(Evaluation!$J$2:$J$176)</f>
        <v/>
      </c>
      <c r="C4" s="77" t="inlineStr">
        <is>
          <t>Rows with a score entered</t>
        </is>
      </c>
    </row>
    <row r="5" ht="23.85" customHeight="1" s="44">
      <c r="A5" s="48" t="inlineStr">
        <is>
          <t>Average score (out of 4)</t>
        </is>
      </c>
      <c r="B5" s="78">
        <f>IFERROR(AVERAGE(Evaluation!$J$2:$J$176),"—")</f>
        <v/>
      </c>
      <c r="C5" s="77" t="inlineStr">
        <is>
          <t>Primary answer-quality metric</t>
        </is>
      </c>
    </row>
    <row r="6" ht="23.85" customHeight="1" s="44">
      <c r="A6" s="48" t="inlineStr">
        <is>
          <t>Accuracy %</t>
        </is>
      </c>
      <c r="B6" s="79">
        <f>IFERROR(AVERAGE(Evaluation!$J$2:$J$176)/4,"—")</f>
        <v/>
      </c>
      <c r="C6" s="77" t="inlineStr">
        <is>
          <t>Average score as a percentage of 4</t>
        </is>
      </c>
    </row>
    <row r="7" ht="23.85" customHeight="1" s="44">
      <c r="A7" s="48" t="inlineStr">
        <is>
          <t>Retrieval hit rate</t>
        </is>
      </c>
      <c r="B7" s="79">
        <f>IFERROR(AVERAGE(Evaluation!$I$2:$I$176),"—")</f>
        <v/>
      </c>
      <c r="C7" s="77" t="inlineStr">
        <is>
          <t>Did we fetch the expected chunk?</t>
        </is>
      </c>
    </row>
    <row r="8" ht="15" customHeight="1" s="44">
      <c r="A8" s="48" t="inlineStr">
        <is>
          <t>Answers scored 4/4</t>
        </is>
      </c>
      <c r="B8" s="77">
        <f>COUNTIF(Evaluation!$J$2:$J$176,4)</f>
        <v/>
      </c>
      <c r="C8" s="77" t="inlineStr">
        <is>
          <t>Fully correct</t>
        </is>
      </c>
    </row>
    <row r="9" ht="23.85" customHeight="1" s="44">
      <c r="A9" s="48" t="inlineStr">
        <is>
          <t>Answers scored 1/4</t>
        </is>
      </c>
      <c r="B9" s="77">
        <f>COUNTIF(Evaluation!$J$2:$J$176,1)</f>
        <v/>
      </c>
      <c r="C9" s="77" t="inlineStr">
        <is>
          <t>Completely wrong — investigate these first</t>
        </is>
      </c>
    </row>
    <row r="10" ht="23.85" customHeight="1" s="44">
      <c r="A10" s="48" t="inlineStr">
        <is>
          <t>Hallucination rate</t>
        </is>
      </c>
      <c r="B10" s="79">
        <f>IFERROR(COUNTIF(Evaluation!$J$2:$J$176,1)/COUNT(Evaluation!$J$2:$J$176),"—")</f>
        <v/>
      </c>
      <c r="C10" s="77" t="inlineStr">
        <is>
          <t>Share of completely-wrong answers</t>
        </is>
      </c>
    </row>
    <row r="11" ht="15" customHeight="1" s="44">
      <c r="A11" s="48" t="inlineStr">
        <is>
          <t>Avg response time (s)</t>
        </is>
      </c>
      <c r="B11" s="78">
        <f>IFERROR(AVERAGE(ModelAnswers!$H$2:$H$176),"—")</f>
        <v/>
      </c>
      <c r="C11" s="77" t="inlineStr">
        <is>
          <t>From ModelAnswers</t>
        </is>
      </c>
    </row>
    <row r="12" ht="15" customHeight="1" s="44">
      <c r="A12" s="48" t="inlineStr">
        <is>
          <t>Total tokens</t>
        </is>
      </c>
      <c r="B12" s="77">
        <f>IFERROR(SUM(ModelAnswers!$I$2:$I$176),"—")</f>
        <v/>
      </c>
      <c r="C12" s="77" t="inlineStr">
        <is>
          <t>From ModelAnswers</t>
        </is>
      </c>
    </row>
    <row r="13" ht="15" customHeight="1" s="44">
      <c r="A13" s="48" t="inlineStr">
        <is>
          <t>Total est. cost (USD)</t>
        </is>
      </c>
      <c r="B13" s="80">
        <f>IFERROR(SUM(ModelAnswers!$J$2:$J$176),"—")</f>
        <v/>
      </c>
      <c r="C13" s="77" t="inlineStr">
        <is>
          <t>From ModelAnswers</t>
        </is>
      </c>
    </row>
    <row r="15" ht="15" customHeight="1" s="44">
      <c r="A15" s="76" t="inlineStr">
        <is>
          <t>SCORE DISTRIBUTION</t>
        </is>
      </c>
      <c r="B15" s="76" t="inlineStr">
        <is>
          <t>Count</t>
        </is>
      </c>
      <c r="C15" s="76" t="inlineStr">
        <is>
          <t>Share</t>
        </is>
      </c>
      <c r="D15" s="76" t="n"/>
    </row>
    <row r="16" ht="15" customHeight="1" s="44">
      <c r="A16" s="48" t="inlineStr">
        <is>
          <t>4 — Completely right</t>
        </is>
      </c>
      <c r="B16" s="77">
        <f>COUNTIF(Evaluation!$J$2:$J$176,4)</f>
        <v/>
      </c>
      <c r="C16" s="79">
        <f>IFERROR(B16/COUNT(Evaluation!$J$2:$J$176),"—")</f>
        <v/>
      </c>
    </row>
    <row r="17" ht="15" customHeight="1" s="44">
      <c r="A17" s="48" t="inlineStr">
        <is>
          <t>3 — Minor mistakes</t>
        </is>
      </c>
      <c r="B17" s="77">
        <f>COUNTIF(Evaluation!$J$2:$J$176,3)</f>
        <v/>
      </c>
      <c r="C17" s="79">
        <f>IFERROR(B17/COUNT(Evaluation!$J$2:$J$176),"—")</f>
        <v/>
      </c>
    </row>
    <row r="18" ht="15" customHeight="1" s="44">
      <c r="A18" s="48" t="inlineStr">
        <is>
          <t>2 — Generally wrong</t>
        </is>
      </c>
      <c r="B18" s="77">
        <f>COUNTIF(Evaluation!$J$2:$J$176,2)</f>
        <v/>
      </c>
      <c r="C18" s="79">
        <f>IFERROR(B18/COUNT(Evaluation!$J$2:$J$176),"—")</f>
        <v/>
      </c>
    </row>
    <row r="19" ht="15" customHeight="1" s="44">
      <c r="A19" s="48" t="inlineStr">
        <is>
          <t>1 — Completely wrong</t>
        </is>
      </c>
      <c r="B19" s="77">
        <f>COUNTIF(Evaluation!$J$2:$J$176,1)</f>
        <v/>
      </c>
      <c r="C19" s="79">
        <f>IFERROR(B19/COUNT(Evaluation!$J$2:$J$176),"—")</f>
        <v/>
      </c>
    </row>
    <row r="21" ht="15" customHeight="1" s="44">
      <c r="A21" s="76" t="inlineStr">
        <is>
          <t>BY LENDER</t>
        </is>
      </c>
      <c r="B21" s="76" t="inlineStr">
        <is>
          <t>Questions</t>
        </is>
      </c>
      <c r="C21" s="76" t="inlineStr">
        <is>
          <t>Avg Score</t>
        </is>
      </c>
      <c r="D21" s="76" t="inlineStr">
        <is>
          <t>Retrieval Hit Rate</t>
        </is>
      </c>
    </row>
    <row r="22" ht="15" customHeight="1" s="44">
      <c r="A22" s="48" t="inlineStr">
        <is>
          <t>Resimac</t>
        </is>
      </c>
      <c r="B22" s="77">
        <f>COUNTIFS(Evaluation!$B$2:$B$176,"Resimac",Evaluation!$J$2:$J$176,"&gt;0")</f>
        <v/>
      </c>
      <c r="C22" s="77">
        <f>IFERROR(AVERAGEIF(Evaluation!$B$2:$B$176,"Resimac",Evaluation!$J$2:$J$176),"—")</f>
        <v/>
      </c>
      <c r="D22" s="77">
        <f>IFERROR(AVERAGEIF(Evaluation!$B$2:$B$176,"Resimac",Evaluation!$I$2:$I$176),"—")</f>
        <v/>
      </c>
    </row>
    <row r="23" ht="15" customHeight="1" s="44">
      <c r="A23" s="76" t="inlineStr">
        <is>
          <t>BFS</t>
        </is>
      </c>
      <c r="B23" s="76">
        <f>COUNTIFS(Evaluation!$B$2:$B$176,"BFS",Evaluation!$J$2:$J$176,"&gt;0")</f>
        <v/>
      </c>
      <c r="C23" s="76">
        <f>IFERROR(AVERAGEIF(Evaluation!$B$2:$B$176,"BFS",Evaluation!$J$2:$J$176),"—")</f>
        <v/>
      </c>
      <c r="D23" s="76">
        <f>IFERROR(AVERAGEIF(Evaluation!$B$2:$B$176,"BFS",Evaluation!$I$2:$I$176),"—")</f>
        <v/>
      </c>
    </row>
    <row r="24" ht="15" customHeight="1" s="44">
      <c r="A24" s="48" t="inlineStr">
        <is>
          <t>Westpac</t>
        </is>
      </c>
      <c r="B24" s="77">
        <f>COUNTIFS(Evaluation!$B$2:$B$176,"Westpac",Evaluation!$J$2:$J$176,"&gt;0")</f>
        <v/>
      </c>
      <c r="C24" s="77">
        <f>IFERROR(AVERAGEIF(Evaluation!$B$2:$B$176,"Westpac",Evaluation!$J$2:$J$176),"—")</f>
        <v/>
      </c>
      <c r="D24" s="77">
        <f>IFERROR(AVERAGEIF(Evaluation!$B$2:$B$176,"Westpac",Evaluation!$I$2:$I$176),"—")</f>
        <v/>
      </c>
    </row>
    <row r="25" ht="15" customHeight="1" s="44">
      <c r="A25" s="76" t="inlineStr">
        <is>
          <t>CFAL</t>
        </is>
      </c>
      <c r="B25" s="76">
        <f>COUNTIFS(Evaluation!$B$2:$B$176,"CFAL",Evaluation!$J$2:$J$176,"&gt;0")</f>
        <v/>
      </c>
      <c r="C25" s="76">
        <f>IFERROR(AVERAGEIF(Evaluation!$B$2:$B$176,"CFAL",Evaluation!$J$2:$J$176),"—")</f>
        <v/>
      </c>
      <c r="D25" s="76">
        <f>IFERROR(AVERAGEIF(Evaluation!$B$2:$B$176,"CFAL",Evaluation!$I$2:$I$176),"—")</f>
        <v/>
      </c>
    </row>
    <row r="26" ht="15" customHeight="1" s="44">
      <c r="A26" s="48" t="inlineStr">
        <is>
          <t>Angle</t>
        </is>
      </c>
      <c r="B26" s="77">
        <f>COUNTIFS(Evaluation!$B$2:$B$176,"Angle",Evaluation!$J$2:$J$176,"&gt;0")</f>
        <v/>
      </c>
      <c r="C26" s="77">
        <f>IFERROR(AVERAGEIF(Evaluation!$B$2:$B$176,"Angle",Evaluation!$J$2:$J$176),"—")</f>
        <v/>
      </c>
      <c r="D26" s="77">
        <f>IFERROR(AVERAGEIF(Evaluation!$B$2:$B$176,"Angle",Evaluation!$I$2:$I$176),"—")</f>
        <v/>
      </c>
    </row>
    <row r="27" ht="15" customHeight="1" s="44">
      <c r="A27" s="48" t="inlineStr">
        <is>
          <t>Metro</t>
        </is>
      </c>
      <c r="B27" s="77">
        <f>COUNTIFS(Evaluation!$B$2:$B$176,"Metro",Evaluation!$J$2:$J$176,"&gt;0")</f>
        <v/>
      </c>
      <c r="C27" s="77">
        <f>IFERROR(AVERAGEIF(Evaluation!$B$2:$B$176,"Metro",Evaluation!$J$2:$J$176),"—")</f>
        <v/>
      </c>
      <c r="D27" s="77">
        <f>IFERROR(AVERAGEIF(Evaluation!$B$2:$B$176,"Metro",Evaluation!$I$2:$I$176),"—")</f>
        <v/>
      </c>
    </row>
    <row r="28" ht="15" customHeight="1" s="44">
      <c r="A28" s="48" t="inlineStr">
        <is>
          <t>Flexi</t>
        </is>
      </c>
      <c r="B28" s="77">
        <f>COUNTIFS(Evaluation!$B$2:$B$176,"Flexi",Evaluation!$J$2:$J$176,"&gt;0")</f>
        <v/>
      </c>
      <c r="C28" s="77">
        <f>IFERROR(AVERAGEIF(Evaluation!$B$2:$B$176,"Flexi",Evaluation!$J$2:$J$176),"—")</f>
        <v/>
      </c>
      <c r="D28" s="77">
        <f>IFERROR(AVERAGEIF(Evaluation!$B$2:$B$176,"Flexi",Evaluation!$I$2:$I$176),"—")</f>
        <v/>
      </c>
    </row>
    <row r="30" ht="15" customHeight="1" s="44">
      <c r="A30" s="76" t="inlineStr">
        <is>
          <t>BY CATEGORY</t>
        </is>
      </c>
      <c r="B30" s="76" t="inlineStr">
        <is>
          <t>Questions</t>
        </is>
      </c>
      <c r="C30" s="76" t="inlineStr">
        <is>
          <t>Avg Score</t>
        </is>
      </c>
      <c r="D30" s="76" t="inlineStr">
        <is>
          <t>Retrieval Hit Rate</t>
        </is>
      </c>
    </row>
    <row r="31" ht="15" customHeight="1" s="44">
      <c r="A31" s="76" t="inlineStr">
        <is>
          <t>ELIGIBILITY</t>
        </is>
      </c>
      <c r="B31" s="76">
        <f>COUNTIFS(Evaluation!$C$2:$C$176,"ELIGIBILITY",Evaluation!$J$2:$J$176,"&gt;0")</f>
        <v/>
      </c>
      <c r="C31" s="76">
        <f>IFERROR(AVERAGEIF(Evaluation!$C$2:$C$176,"ELIGIBILITY",Evaluation!$J$2:$J$176),"—")</f>
        <v/>
      </c>
      <c r="D31" s="76">
        <f>IFERROR(AVERAGEIF(Evaluation!$C$2:$C$176,"ELIGIBILITY",Evaluation!$I$2:$I$176),"—")</f>
        <v/>
      </c>
    </row>
    <row r="32" ht="15" customHeight="1" s="44">
      <c r="A32" s="76" t="inlineStr">
        <is>
          <t>PRICING</t>
        </is>
      </c>
      <c r="B32" s="76">
        <f>COUNTIFS(Evaluation!$C$2:$C$176,"PRICING",Evaluation!$J$2:$J$176,"&gt;0")</f>
        <v/>
      </c>
      <c r="C32" s="76">
        <f>IFERROR(AVERAGEIF(Evaluation!$C$2:$C$176,"PRICING",Evaluation!$J$2:$J$176),"—")</f>
        <v/>
      </c>
      <c r="D32" s="76">
        <f>IFERROR(AVERAGEIF(Evaluation!$C$2:$C$176,"PRICING",Evaluation!$I$2:$I$176),"—")</f>
        <v/>
      </c>
    </row>
    <row r="33" ht="15" customHeight="1" s="44">
      <c r="A33" s="76" t="inlineStr">
        <is>
          <t>LOAN_LIMITS</t>
        </is>
      </c>
      <c r="B33" s="76">
        <f>COUNTIFS(Evaluation!$C$2:$C$176,"LOAN_LIMITS",Evaluation!$J$2:$J$176,"&gt;0")</f>
        <v/>
      </c>
      <c r="C33" s="76">
        <f>IFERROR(AVERAGEIF(Evaluation!$C$2:$C$176,"LOAN_LIMITS",Evaluation!$J$2:$J$176),"—")</f>
        <v/>
      </c>
      <c r="D33" s="76">
        <f>IFERROR(AVERAGEIF(Evaluation!$C$2:$C$176,"LOAN_LIMITS",Evaluation!$I$2:$I$176),"—")</f>
        <v/>
      </c>
    </row>
    <row r="34" ht="15" customHeight="1" s="44">
      <c r="A34" s="76" t="inlineStr">
        <is>
          <t>DOCUMENTATION</t>
        </is>
      </c>
      <c r="B34" s="76">
        <f>COUNTIFS(Evaluation!$C$2:$C$176,"DOCUMENTATION",Evaluation!$J$2:$J$176,"&gt;0")</f>
        <v/>
      </c>
      <c r="C34" s="76">
        <f>IFERROR(AVERAGEIF(Evaluation!$C$2:$C$176,"DOCUMENTATION",Evaluation!$J$2:$J$176),"—")</f>
        <v/>
      </c>
      <c r="D34" s="76">
        <f>IFERROR(AVERAGEIF(Evaluation!$C$2:$C$176,"DOCUMENTATION",Evaluation!$I$2:$I$176),"—")</f>
        <v/>
      </c>
    </row>
    <row r="35" ht="15" customHeight="1" s="44">
      <c r="A35" s="76" t="inlineStr">
        <is>
          <t>ASSET_ELIGIBILITY</t>
        </is>
      </c>
      <c r="B35" s="76">
        <f>COUNTIFS(Evaluation!$C$2:$C$176,"ASSET_ELIGIBILITY",Evaluation!$J$2:$J$176,"&gt;0")</f>
        <v/>
      </c>
      <c r="C35" s="76">
        <f>IFERROR(AVERAGEIF(Evaluation!$C$2:$C$176,"ASSET_ELIGIBILITY",Evaluation!$J$2:$J$176),"—")</f>
        <v/>
      </c>
      <c r="D35" s="76">
        <f>IFERROR(AVERAGEIF(Evaluation!$C$2:$C$176,"ASSET_ELIGIBILITY",Evaluation!$I$2:$I$176),"—")</f>
        <v/>
      </c>
    </row>
    <row r="36" ht="15" customHeight="1" s="44">
      <c r="A36" s="76" t="inlineStr">
        <is>
          <t>EXCLUSIONS</t>
        </is>
      </c>
      <c r="B36" s="76">
        <f>COUNTIFS(Evaluation!$C$2:$C$176,"EXCLUSIONS",Evaluation!$J$2:$J$176,"&gt;0")</f>
        <v/>
      </c>
      <c r="C36" s="76">
        <f>IFERROR(AVERAGEIF(Evaluation!$C$2:$C$176,"EXCLUSIONS",Evaluation!$J$2:$J$176),"—")</f>
        <v/>
      </c>
      <c r="D36" s="76">
        <f>IFERROR(AVERAGEIF(Evaluation!$C$2:$C$176,"EXCLUSIONS",Evaluation!$I$2:$I$176),"—")</f>
        <v/>
      </c>
    </row>
    <row r="37" ht="15" customHeight="1" s="44">
      <c r="A37" s="76" t="inlineStr">
        <is>
          <t>SETTLEMENT</t>
        </is>
      </c>
      <c r="B37" s="76">
        <f>COUNTIFS(Evaluation!$C$2:$C$176,"SETTLEMENT",Evaluation!$J$2:$J$176,"&gt;0")</f>
        <v/>
      </c>
      <c r="C37" s="76">
        <f>IFERROR(AVERAGEIF(Evaluation!$C$2:$C$176,"SETTLEMENT",Evaluation!$J$2:$J$176),"—")</f>
        <v/>
      </c>
      <c r="D37" s="76">
        <f>IFERROR(AVERAGEIF(Evaluation!$C$2:$C$176,"SETTLEMENT",Evaluation!$I$2:$I$176),"—")</f>
        <v/>
      </c>
    </row>
    <row r="38" ht="15" customHeight="1" s="44">
      <c r="A38" s="76" t="inlineStr">
        <is>
          <t>SPECIAL_PROGRAMS</t>
        </is>
      </c>
      <c r="B38" s="76">
        <f>COUNTIFS(Evaluation!$C$2:$C$176,"SPECIAL_PROGRAMS",Evaluation!$J$2:$J$176,"&gt;0")</f>
        <v/>
      </c>
      <c r="C38" s="76">
        <f>IFERROR(AVERAGEIF(Evaluation!$C$2:$C$176,"SPECIAL_PROGRAMS",Evaluation!$J$2:$J$176),"—")</f>
        <v/>
      </c>
      <c r="D38" s="76">
        <f>IFERROR(AVERAGEIF(Evaluation!$C$2:$C$176,"SPECIAL_PROGRAMS",Evaluation!$I$2:$I$176),"—")</f>
        <v/>
      </c>
    </row>
    <row r="39" ht="15" customHeight="1" s="44">
      <c r="A39" s="76" t="inlineStr">
        <is>
          <t>FEES</t>
        </is>
      </c>
      <c r="B39" s="76">
        <f>COUNTIFS(Evaluation!$C$2:$C$176,"FEES",Evaluation!$J$2:$J$176,"&gt;0")</f>
        <v/>
      </c>
      <c r="C39" s="76">
        <f>IFERROR(AVERAGEIF(Evaluation!$C$2:$C$176,"FEES",Evaluation!$J$2:$J$176),"—")</f>
        <v/>
      </c>
      <c r="D39" s="76">
        <f>IFERROR(AVERAGEIF(Evaluation!$C$2:$C$176,"FEES",Evaluation!$I$2:$I$176),"—")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3" min="1" max="1"/>
    <col width="20" customWidth="1" style="43" min="2" max="2"/>
    <col width="26" customWidth="1" style="43" min="3" max="3"/>
    <col width="14" customWidth="1" style="43" min="4" max="4"/>
    <col width="12" customWidth="1" style="43" min="5" max="5"/>
    <col width="16" customWidth="1" style="43" min="6" max="7"/>
    <col width="18" customWidth="1" style="43" min="8" max="8"/>
    <col width="13" customWidth="1" style="43" min="9" max="9"/>
    <col width="14" customWidth="1" style="43" min="10" max="10"/>
    <col width="44" customWidth="1" style="43" min="11" max="11"/>
  </cols>
  <sheetData>
    <row r="1" ht="33.75" customHeight="1" s="44">
      <c r="A1" s="55" t="inlineStr">
        <is>
          <t>Config ID</t>
        </is>
      </c>
      <c r="B1" s="55" t="inlineStr">
        <is>
          <t>Variable Tested</t>
        </is>
      </c>
      <c r="C1" s="55" t="inlineStr">
        <is>
          <t>Setting</t>
        </is>
      </c>
      <c r="D1" s="55" t="inlineStr">
        <is>
          <t>Avg Score (/4)</t>
        </is>
      </c>
      <c r="E1" s="55" t="inlineStr">
        <is>
          <t>Accuracy %</t>
        </is>
      </c>
      <c r="F1" s="55" t="inlineStr">
        <is>
          <t>Retrieval Hit Rate</t>
        </is>
      </c>
      <c r="G1" s="55" t="inlineStr">
        <is>
          <t>Hallucination Rate</t>
        </is>
      </c>
      <c r="H1" s="55" t="inlineStr">
        <is>
          <t>Avg Response Time (s)</t>
        </is>
      </c>
      <c r="I1" s="55" t="inlineStr">
        <is>
          <t>Total Tokens</t>
        </is>
      </c>
      <c r="J1" s="55" t="inlineStr">
        <is>
          <t>Est. Cost (USD)</t>
        </is>
      </c>
      <c r="K1" s="55" t="inlineStr">
        <is>
          <t>Verdict / Notes</t>
        </is>
      </c>
    </row>
    <row r="2" ht="15" customHeight="1" s="44">
      <c r="A2" s="56" t="inlineStr">
        <is>
          <t>C1</t>
        </is>
      </c>
      <c r="B2" s="56" t="inlineStr">
        <is>
          <t>Top-K Retrieval</t>
        </is>
      </c>
      <c r="C2" s="56" t="inlineStr">
        <is>
          <t>Top-K = 3</t>
        </is>
      </c>
      <c r="D2" s="81" t="n"/>
      <c r="E2" s="82" t="n"/>
      <c r="F2" s="82" t="n"/>
      <c r="G2" s="82" t="n"/>
      <c r="H2" s="81" t="n"/>
      <c r="I2" s="83" t="n"/>
      <c r="J2" s="84" t="n"/>
      <c r="K2" s="58" t="n"/>
    </row>
    <row r="3" ht="15" customHeight="1" s="44">
      <c r="A3" s="56" t="inlineStr">
        <is>
          <t>C2</t>
        </is>
      </c>
      <c r="B3" s="56" t="inlineStr">
        <is>
          <t>Top-K Retrieval</t>
        </is>
      </c>
      <c r="C3" s="56" t="inlineStr">
        <is>
          <t>Top-K = 5</t>
        </is>
      </c>
      <c r="D3" s="81" t="n">
        <v>3.09</v>
      </c>
      <c r="E3" s="82" t="n">
        <v>0.7725</v>
      </c>
      <c r="F3" s="82" t="n">
        <v>0.989</v>
      </c>
      <c r="G3" s="82" t="n"/>
      <c r="H3" s="81" t="n">
        <v>2.08</v>
      </c>
      <c r="I3" s="83" t="n">
        <v>423454</v>
      </c>
      <c r="J3" s="84" t="n">
        <v>0.0679</v>
      </c>
      <c r="K3" s="58" t="inlineStr">
        <is>
          <t>Actual measured config (gpt-4o-mini, union retrieval: lender OR lender+intent, lender-detection priority fix). Hallucination rate not measured - no detection methodology implemented this round. Other rows (Top-K=3, Top-K=10, Prompt v2) not yet run - would need separate benchmark passes at those settings.</t>
        </is>
      </c>
    </row>
    <row r="4" ht="15" customHeight="1" s="44">
      <c r="A4" s="56" t="inlineStr">
        <is>
          <t>C3</t>
        </is>
      </c>
      <c r="B4" s="56" t="inlineStr">
        <is>
          <t>Top-K Retrieval</t>
        </is>
      </c>
      <c r="C4" s="56" t="inlineStr">
        <is>
          <t>Top-K = 10</t>
        </is>
      </c>
      <c r="D4" s="81" t="n"/>
      <c r="E4" s="82" t="n"/>
      <c r="F4" s="82" t="n"/>
      <c r="G4" s="82" t="n"/>
      <c r="H4" s="81" t="n"/>
      <c r="I4" s="83" t="n"/>
      <c r="J4" s="84" t="n"/>
      <c r="K4" s="58" t="n"/>
    </row>
    <row r="5" ht="15" customHeight="1" s="44">
      <c r="A5" s="56" t="inlineStr">
        <is>
          <t>C4</t>
        </is>
      </c>
      <c r="B5" s="56" t="inlineStr">
        <is>
          <t>Prompt Template</t>
        </is>
      </c>
      <c r="C5" s="56" t="inlineStr">
        <is>
          <t>Baseline prompt</t>
        </is>
      </c>
      <c r="D5" s="81" t="n"/>
      <c r="E5" s="82" t="n"/>
      <c r="F5" s="82" t="n"/>
      <c r="G5" s="82" t="n"/>
      <c r="H5" s="81" t="n"/>
      <c r="I5" s="83" t="n"/>
      <c r="J5" s="84" t="n"/>
      <c r="K5" s="58" t="n"/>
    </row>
    <row r="6" ht="15" customHeight="1" s="44">
      <c r="A6" s="56" t="inlineStr">
        <is>
          <t>C5</t>
        </is>
      </c>
      <c r="B6" s="56" t="inlineStr">
        <is>
          <t>Prompt Template</t>
        </is>
      </c>
      <c r="C6" s="56" t="inlineStr">
        <is>
          <t>Prompt v2 (strict citation)</t>
        </is>
      </c>
      <c r="D6" s="81" t="n"/>
      <c r="E6" s="82" t="n"/>
      <c r="F6" s="82" t="n"/>
      <c r="G6" s="82" t="n"/>
      <c r="H6" s="81" t="n"/>
      <c r="I6" s="83" t="n"/>
      <c r="J6" s="84" t="n"/>
      <c r="K6" s="58" t="n"/>
    </row>
    <row r="7" ht="15" customHeight="1" s="44">
      <c r="A7" s="56" t="inlineStr">
        <is>
          <t>C6</t>
        </is>
      </c>
      <c r="B7" s="56" t="inlineStr">
        <is>
          <t>Prompt Template</t>
        </is>
      </c>
      <c r="C7" s="56" t="inlineStr">
        <is>
          <t>Prompt v3 (refuse if unsure)</t>
        </is>
      </c>
      <c r="D7" s="81" t="n"/>
      <c r="E7" s="82" t="n"/>
      <c r="F7" s="82" t="n"/>
      <c r="G7" s="82" t="n"/>
      <c r="H7" s="81" t="n"/>
      <c r="I7" s="83" t="n"/>
      <c r="J7" s="84" t="n"/>
      <c r="K7" s="58" t="n"/>
    </row>
    <row r="8" ht="15" customHeight="1" s="44">
      <c r="A8" s="56" t="inlineStr">
        <is>
          <t>C7</t>
        </is>
      </c>
      <c r="B8" s="56" t="inlineStr">
        <is>
          <t>Metadata Filtering</t>
        </is>
      </c>
      <c r="C8" s="56" t="inlineStr">
        <is>
          <t>Filtering ON</t>
        </is>
      </c>
      <c r="D8" s="81" t="n"/>
      <c r="E8" s="82" t="n"/>
      <c r="F8" s="82" t="n"/>
      <c r="G8" s="82" t="n"/>
      <c r="H8" s="81" t="n"/>
      <c r="I8" s="83" t="n"/>
      <c r="J8" s="84" t="n"/>
      <c r="K8" s="58" t="n"/>
    </row>
    <row r="9" ht="15" customHeight="1" s="44">
      <c r="A9" s="56" t="inlineStr">
        <is>
          <t>C8</t>
        </is>
      </c>
      <c r="B9" s="56" t="inlineStr">
        <is>
          <t>Metadata Filtering</t>
        </is>
      </c>
      <c r="C9" s="56" t="inlineStr">
        <is>
          <t>Filtering OFF (control)</t>
        </is>
      </c>
      <c r="D9" s="81" t="n"/>
      <c r="E9" s="82" t="n"/>
      <c r="F9" s="82" t="n"/>
      <c r="G9" s="82" t="n"/>
      <c r="H9" s="81" t="n"/>
      <c r="I9" s="83" t="n"/>
      <c r="J9" s="84" t="n"/>
      <c r="K9" s="58" t="n"/>
    </row>
    <row r="10" ht="15" customHeight="1" s="44">
      <c r="A10" s="56" t="inlineStr">
        <is>
          <t>C9</t>
        </is>
      </c>
      <c r="B10" s="56" t="inlineStr">
        <is>
          <t>Chunk Size</t>
        </is>
      </c>
      <c r="C10" s="56" t="inlineStr">
        <is>
          <t>Default chunks</t>
        </is>
      </c>
      <c r="D10" s="81" t="n"/>
      <c r="E10" s="82" t="n"/>
      <c r="F10" s="82" t="n"/>
      <c r="G10" s="82" t="n"/>
      <c r="H10" s="81" t="n"/>
      <c r="I10" s="83" t="n"/>
      <c r="J10" s="84" t="n"/>
      <c r="K10" s="58" t="n"/>
    </row>
    <row r="11" ht="15" customHeight="1" s="44">
      <c r="A11" s="56" t="inlineStr">
        <is>
          <t>C10</t>
        </is>
      </c>
      <c r="B11" s="56" t="inlineStr">
        <is>
          <t>Chunk Size</t>
        </is>
      </c>
      <c r="C11" s="56" t="inlineStr">
        <is>
          <t>Smaller chunks</t>
        </is>
      </c>
      <c r="D11" s="81" t="n"/>
      <c r="E11" s="82" t="n"/>
      <c r="F11" s="82" t="n"/>
      <c r="G11" s="82" t="n"/>
      <c r="H11" s="81" t="n"/>
      <c r="I11" s="83" t="n"/>
      <c r="J11" s="84" t="n"/>
      <c r="K11" s="58" t="n"/>
    </row>
    <row r="13" ht="15" customHeight="1" s="44">
      <c r="A13" s="85" t="inlineStr">
        <is>
          <t>How to use: run the 100-question benchmark once per config. Copy the headline numbers from 'AccuracyReport' into the row for that config. The best average score highlights green automatically.</t>
        </is>
      </c>
    </row>
  </sheetData>
  <conditionalFormatting sqref="D2:D11">
    <cfRule type="expression" rank="0" priority="2" equalAverage="0" aboveAverage="0" dxfId="0" text="" percent="0" bottom="0">
      <formula>AND($D2&lt;&gt;"",$D2=MAX($D$2:$D$11))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3" min="1" max="1"/>
    <col width="10" customWidth="1" style="43" min="2" max="2"/>
    <col width="8" customWidth="1" style="43" min="3" max="3"/>
    <col width="26" customWidth="1" style="43" min="4" max="4"/>
    <col width="44" customWidth="1" style="43" min="5" max="5"/>
    <col width="40" customWidth="1" style="43" min="6" max="6"/>
    <col width="32" customWidth="1" style="43" min="7" max="7"/>
    <col width="12" customWidth="1" style="43" min="8" max="8"/>
  </cols>
  <sheetData>
    <row r="1" ht="33.75" customHeight="1" s="44">
      <c r="A1" s="55" t="inlineStr">
        <is>
          <t>ID</t>
        </is>
      </c>
      <c r="B1" s="55" t="inlineStr">
        <is>
          <t>Lender</t>
        </is>
      </c>
      <c r="C1" s="55" t="inlineStr">
        <is>
          <t>Score</t>
        </is>
      </c>
      <c r="D1" s="55" t="inlineStr">
        <is>
          <t>Failure Type</t>
        </is>
      </c>
      <c r="E1" s="55" t="inlineStr">
        <is>
          <t>What went wrong</t>
        </is>
      </c>
      <c r="F1" s="55" t="inlineStr">
        <is>
          <t>Root cause</t>
        </is>
      </c>
      <c r="G1" s="55" t="inlineStr">
        <is>
          <t>Fix / owner</t>
        </is>
      </c>
      <c r="H1" s="55" t="inlineStr">
        <is>
          <t>Status</t>
        </is>
      </c>
    </row>
    <row r="2" ht="23.85" customHeight="1" s="44">
      <c r="A2" s="86" t="inlineStr">
        <is>
          <t>(example) CFA-07</t>
        </is>
      </c>
      <c r="B2" s="58" t="inlineStr">
        <is>
          <t>CFAL</t>
        </is>
      </c>
      <c r="C2" s="58" t="n">
        <v>1</v>
      </c>
      <c r="D2" s="58" t="inlineStr">
        <is>
          <t>Cross-lender contamination</t>
        </is>
      </c>
      <c r="E2" s="58" t="inlineStr">
        <is>
          <t>Answered with a Westpac DriveXpress limit</t>
        </is>
      </c>
      <c r="F2" s="58" t="inlineStr">
        <is>
          <t>Shared 'DriveXpress' keyword routed to WESTPAC</t>
        </is>
      </c>
      <c r="G2" s="58" t="inlineStr">
        <is>
          <t>Add lender keyword weighting — Sameep</t>
        </is>
      </c>
      <c r="H2" s="58" t="inlineStr">
        <is>
          <t>Open</t>
        </is>
      </c>
    </row>
    <row r="3" ht="15" customHeight="1" s="44">
      <c r="A3" s="58" t="n"/>
      <c r="B3" s="58" t="n"/>
      <c r="C3" s="58" t="n"/>
      <c r="D3" s="58" t="n"/>
      <c r="E3" s="58" t="n"/>
      <c r="F3" s="58" t="n"/>
      <c r="G3" s="58" t="n"/>
      <c r="H3" s="58" t="n"/>
    </row>
    <row r="4" ht="15" customHeight="1" s="44">
      <c r="A4" s="58" t="n"/>
      <c r="B4" s="58" t="n"/>
      <c r="C4" s="58" t="n"/>
      <c r="D4" s="58" t="n"/>
      <c r="E4" s="58" t="n"/>
      <c r="F4" s="58" t="n"/>
      <c r="G4" s="58" t="n"/>
      <c r="H4" s="58" t="n"/>
    </row>
    <row r="5" ht="15" customHeight="1" s="44">
      <c r="A5" s="58" t="n"/>
      <c r="B5" s="58" t="n"/>
      <c r="C5" s="58" t="n"/>
      <c r="D5" s="58" t="n"/>
      <c r="E5" s="58" t="n"/>
      <c r="F5" s="58" t="n"/>
      <c r="G5" s="58" t="n"/>
      <c r="H5" s="58" t="n"/>
    </row>
    <row r="6" ht="15" customHeight="1" s="44">
      <c r="A6" s="58" t="n"/>
      <c r="B6" s="58" t="n"/>
      <c r="C6" s="58" t="n"/>
      <c r="D6" s="58" t="n"/>
      <c r="E6" s="58" t="n"/>
      <c r="F6" s="58" t="n"/>
      <c r="G6" s="58" t="n"/>
      <c r="H6" s="58" t="n"/>
    </row>
    <row r="7" ht="15" customHeight="1" s="44">
      <c r="A7" s="58" t="n"/>
      <c r="B7" s="58" t="n"/>
      <c r="C7" s="58" t="n"/>
      <c r="D7" s="58" t="n"/>
      <c r="E7" s="58" t="n"/>
      <c r="F7" s="58" t="n"/>
      <c r="G7" s="58" t="n"/>
      <c r="H7" s="58" t="n"/>
    </row>
    <row r="8" ht="15" customHeight="1" s="44">
      <c r="A8" s="58" t="n"/>
      <c r="B8" s="58" t="n"/>
      <c r="C8" s="58" t="n"/>
      <c r="D8" s="58" t="n"/>
      <c r="E8" s="58" t="n"/>
      <c r="F8" s="58" t="n"/>
      <c r="G8" s="58" t="n"/>
      <c r="H8" s="58" t="n"/>
    </row>
    <row r="9" ht="15" customHeight="1" s="44">
      <c r="A9" s="58" t="n"/>
      <c r="B9" s="58" t="n"/>
      <c r="C9" s="58" t="n"/>
      <c r="D9" s="58" t="n"/>
      <c r="E9" s="58" t="n"/>
      <c r="F9" s="58" t="n"/>
      <c r="G9" s="58" t="n"/>
      <c r="H9" s="58" t="n"/>
    </row>
    <row r="10" ht="15" customHeight="1" s="44">
      <c r="A10" s="58" t="n"/>
      <c r="B10" s="58" t="n"/>
      <c r="C10" s="58" t="n"/>
      <c r="D10" s="58" t="n"/>
      <c r="E10" s="58" t="n"/>
      <c r="F10" s="58" t="n"/>
      <c r="G10" s="58" t="n"/>
      <c r="H10" s="58" t="n"/>
    </row>
    <row r="11" ht="15" customHeight="1" s="44">
      <c r="A11" s="58" t="n"/>
      <c r="B11" s="58" t="n"/>
      <c r="C11" s="58" t="n"/>
      <c r="D11" s="58" t="n"/>
      <c r="E11" s="58" t="n"/>
      <c r="F11" s="58" t="n"/>
      <c r="G11" s="58" t="n"/>
      <c r="H11" s="58" t="n"/>
    </row>
    <row r="12" ht="15" customHeight="1" s="44">
      <c r="A12" s="58" t="n"/>
      <c r="B12" s="58" t="n"/>
      <c r="C12" s="58" t="n"/>
      <c r="D12" s="58" t="n"/>
      <c r="E12" s="58" t="n"/>
      <c r="F12" s="58" t="n"/>
      <c r="G12" s="58" t="n"/>
      <c r="H12" s="58" t="n"/>
    </row>
    <row r="13" ht="15" customHeight="1" s="44">
      <c r="A13" s="58" t="n"/>
      <c r="B13" s="58" t="n"/>
      <c r="C13" s="58" t="n"/>
      <c r="D13" s="58" t="n"/>
      <c r="E13" s="58" t="n"/>
      <c r="F13" s="58" t="n"/>
      <c r="G13" s="58" t="n"/>
      <c r="H13" s="58" t="n"/>
    </row>
    <row r="14" ht="15" customHeight="1" s="44">
      <c r="A14" s="58" t="n"/>
      <c r="B14" s="58" t="n"/>
      <c r="C14" s="58" t="n"/>
      <c r="D14" s="58" t="n"/>
      <c r="E14" s="58" t="n"/>
      <c r="F14" s="58" t="n"/>
      <c r="G14" s="58" t="n"/>
      <c r="H14" s="58" t="n"/>
    </row>
    <row r="15" ht="15" customHeight="1" s="44">
      <c r="A15" s="58" t="n"/>
      <c r="B15" s="58" t="n"/>
      <c r="C15" s="58" t="n"/>
      <c r="D15" s="58" t="n"/>
      <c r="E15" s="58" t="n"/>
      <c r="F15" s="58" t="n"/>
      <c r="G15" s="58" t="n"/>
      <c r="H15" s="58" t="n"/>
    </row>
    <row r="16" ht="15" customHeight="1" s="44">
      <c r="A16" s="58" t="n"/>
      <c r="B16" s="58" t="n"/>
      <c r="C16" s="58" t="n"/>
      <c r="D16" s="58" t="n"/>
      <c r="E16" s="58" t="n"/>
      <c r="F16" s="58" t="n"/>
      <c r="G16" s="58" t="n"/>
      <c r="H16" s="58" t="n"/>
    </row>
    <row r="17" ht="15" customHeight="1" s="44">
      <c r="A17" s="58" t="n"/>
      <c r="B17" s="58" t="n"/>
      <c r="C17" s="58" t="n"/>
      <c r="D17" s="58" t="n"/>
      <c r="E17" s="58" t="n"/>
      <c r="F17" s="58" t="n"/>
      <c r="G17" s="58" t="n"/>
      <c r="H17" s="58" t="n"/>
    </row>
    <row r="18" ht="15" customHeight="1" s="44">
      <c r="A18" s="58" t="n"/>
      <c r="B18" s="58" t="n"/>
      <c r="C18" s="58" t="n"/>
      <c r="D18" s="58" t="n"/>
      <c r="E18" s="58" t="n"/>
      <c r="F18" s="58" t="n"/>
      <c r="G18" s="58" t="n"/>
      <c r="H18" s="58" t="n"/>
    </row>
    <row r="19" ht="15" customHeight="1" s="44">
      <c r="A19" s="58" t="n"/>
      <c r="B19" s="58" t="n"/>
      <c r="C19" s="58" t="n"/>
      <c r="D19" s="58" t="n"/>
      <c r="E19" s="58" t="n"/>
      <c r="F19" s="58" t="n"/>
      <c r="G19" s="58" t="n"/>
      <c r="H19" s="58" t="n"/>
    </row>
    <row r="20" ht="15" customHeight="1" s="44">
      <c r="A20" s="58" t="n"/>
      <c r="B20" s="58" t="n"/>
      <c r="C20" s="58" t="n"/>
      <c r="D20" s="58" t="n"/>
      <c r="E20" s="58" t="n"/>
      <c r="F20" s="58" t="n"/>
      <c r="G20" s="58" t="n"/>
      <c r="H20" s="58" t="n"/>
    </row>
    <row r="21">
      <c r="A21" s="43" t="inlineStr">
        <is>
          <t>CFA-03, CFA-12, CFA-18, CFA-22</t>
        </is>
      </c>
      <c r="B21" s="43" t="inlineStr">
        <is>
          <t>CFAL</t>
        </is>
      </c>
      <c r="C21" s="43" t="n">
        <v>1</v>
      </c>
      <c r="D21" s="43" t="inlineStr">
        <is>
          <t>Cross-lender contamination</t>
        </is>
      </c>
      <c r="E21" s="43" t="inlineStr">
        <is>
          <t>Questions mentioning both 'CFAL' and 'DriveXpress' were answered from Westpac's DriveXpress chunks instead of CFAL's</t>
        </is>
      </c>
      <c r="F21" s="43" t="inlineStr">
        <is>
          <t>detect_lender() checked lenders in fixed dict order (Westpac first); CFAL's own product name 'DriveXpress' contains the substring 'xpress', which is also a Westpac keyword, so Westpac matched first regardless of the explicit 'CFAL' mention</t>
        </is>
      </c>
      <c r="G21" s="43" t="inlineStr">
        <is>
          <t>Reordered detect_lender() to check each lender's exact name first (pass 1) before any lender's secondary/product keywords (pass 2) - Claude</t>
        </is>
      </c>
      <c r="H21" s="43" t="inlineStr">
        <is>
          <t>Fixed</t>
        </is>
      </c>
    </row>
    <row r="22">
      <c r="A22" s="43" t="inlineStr">
        <is>
          <t>BFS-21</t>
        </is>
      </c>
      <c r="B22" s="43" t="inlineStr">
        <is>
          <t>BFS</t>
        </is>
      </c>
      <c r="C22" s="43" t="n">
        <v>2</v>
      </c>
      <c r="D22" s="43" t="inlineStr">
        <is>
          <t>Retrieval ranking miss</t>
        </is>
      </c>
      <c r="E22" s="43" t="inlineStr">
        <is>
          <t>Correct chunk (bfs_customer_tiers) not retrieved</t>
        </is>
      </c>
      <c r="F22" s="43" t="inlineStr">
        <is>
          <t>Chunk ranks 7th of 9 BFS chunks by embedding similarity - outside top-5 - question phrasing has weaker semantic overlap with that chunk than several unrelated BFS chunks</t>
        </is>
      </c>
      <c r="G22" s="43" t="inlineStr">
        <is>
          <t>None applied. Would require raising TOP_K (context/cost tradeoff) or a reranking step. Left as a known limitation rather than adding an overfit keyword patch.</t>
        </is>
      </c>
      <c r="H22" s="43" t="inlineStr">
        <is>
          <t>Open</t>
        </is>
      </c>
    </row>
    <row r="23">
      <c r="A23" s="43" t="inlineStr">
        <is>
          <t>FLX-17</t>
        </is>
      </c>
      <c r="B23" s="43" t="inlineStr">
        <is>
          <t>Flexi</t>
        </is>
      </c>
      <c r="C23" s="43" t="n">
        <v>2</v>
      </c>
      <c r="D23" s="43" t="inlineStr">
        <is>
          <t>Retrieval ranking miss</t>
        </is>
      </c>
      <c r="E23" s="43" t="inlineStr">
        <is>
          <t>Correct chunk (flexi_asset_categories) not retrieved</t>
        </is>
      </c>
      <c r="F23" s="43" t="inlineStr">
        <is>
          <t>'maximum exposure for IT assets' pulls toward flexi_credit_matrix (a LOAN_LIMITS chunk about exposure caps generally); a keyword fix broad enough to catch this would also wrongly reclassify FLX-05, which legitimately is LOAN_LIMITS</t>
        </is>
      </c>
      <c r="G23" s="43" t="inlineStr">
        <is>
          <t>None applied - rejected as overfitting risk. Same phrase pattern maps to different gold intents depending on context; not resolvable via keyword matching alone.</t>
        </is>
      </c>
      <c r="H23" s="43" t="inlineStr">
        <is>
          <t>Open</t>
        </is>
      </c>
    </row>
    <row r="24">
      <c r="A24" s="43" t="inlineStr">
        <is>
          <t>Metro category (25 Q)</t>
        </is>
      </c>
      <c r="B24" s="43" t="inlineStr">
        <is>
          <t>Metro</t>
        </is>
      </c>
      <c r="C24" s="43" t="n">
        <v>2</v>
      </c>
      <c r="D24" s="43" t="inlineStr">
        <is>
          <t>Answer-quality ceiling (not retrieval)</t>
        </is>
      </c>
      <c r="E24" s="43" t="inlineStr">
        <is>
          <t>Most Metro questions retrieve the correct chunk (source hit) but the model's answer doesn't reproduce enough of the gold numbers to score above 2-3</t>
        </is>
      </c>
      <c r="F24" s="43" t="inlineStr">
        <is>
          <t>Metro's chunks are dense markdown rate/limit tables (multiple numeric columns per row); gpt-4o-mini answers tend to summarize rather than enumerate every figure</t>
        </is>
      </c>
      <c r="G24" s="43" t="inlineStr">
        <is>
          <t>Not addressed this round. Candidate fixes: stricter prompt instruction to quote every number verbatim, or pre-flattening tables before embedding.</t>
        </is>
      </c>
      <c r="H24" s="43" t="inlineStr">
        <is>
          <t>Open</t>
        </is>
      </c>
    </row>
    <row r="25">
      <c r="A25" s="43" t="inlineStr">
        <is>
          <t>FEES category (8 Q) / SETTLEMENT category (7 Q)</t>
        </is>
      </c>
      <c r="B25" s="43" t="inlineStr">
        <is>
          <t>All</t>
        </is>
      </c>
      <c r="C25" s="43" t="n">
        <v>2</v>
      </c>
      <c r="D25" s="43" t="inlineStr">
        <is>
          <t>Answer-quality ceiling (not retrieval)</t>
        </is>
      </c>
      <c r="E25" s="43" t="inlineStr">
        <is>
          <t>Both categories have 100% retrieval hit rate already, but average only 2.50-2.71/4</t>
        </is>
      </c>
      <c r="F25" s="43" t="inlineStr">
        <is>
          <t>Same root cause as Metro - answer generation, not retrieval/routing. Confirmed via diagnostic: every FEES and SETTLEMENT question retrieves its expected chunk.</t>
        </is>
      </c>
      <c r="G25" s="43" t="inlineStr">
        <is>
          <t>Not addressed this round - flagged for prompt-engineering follow-up, since no retrieval/keyword fix applies here.</t>
        </is>
      </c>
      <c r="H25" s="43" t="inlineStr">
        <is>
          <t>Open</t>
        </is>
      </c>
    </row>
  </sheetData>
  <dataValidations count="2">
    <dataValidation sqref="D2:D20" showDropDown="0" showInputMessage="0" showErrorMessage="0" allowBlank="1" type="list" errorStyle="stop" operator="between">
      <formula1>"Cross-lender contamination,Wrong chunk retrieved,Right chunk wrong answer,Hallucinated figure,Outdated policy,Incomplete answer,No citation,Other"</formula1>
      <formula2>0</formula2>
    </dataValidation>
    <dataValidation sqref="H2:H20" showDropDown="0" showInputMessage="0" showErrorMessage="0" allowBlank="1" type="list" errorStyle="stop" operator="between">
      <formula1>"Open,In progress,Fixed,Wont fix"</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2026-07-09T01:39:33Z</dcterms:created>
  <dcterms:modified xsi:type="dcterms:W3CDTF">2026-07-10T01:08:30Z</dcterms:modified>
  <cp:revision>0</cp:revision>
</cp:coreProperties>
</file>