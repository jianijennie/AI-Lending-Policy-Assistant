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odelAnswers" sheetId="2" state="visible" r:id="rId4"/>
    <sheet name="Evaluation" sheetId="3" state="visible" r:id="rId5"/>
    <sheet name="AccuracyReport" sheetId="4" state="visible" r:id="rId6"/>
    <sheet name="RAG_Comparison" sheetId="5" state="visible" r:id="rId7"/>
    <sheet name="ErrorLo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<sst xmlns="http://schemas.openxmlformats.org/spreadsheetml/2006/main" count="1920" uniqueCount="736">
  <si>
    <t xml:space="preserve">CMAP 2026 — Week 3 Evaluation Template</t>
  </si>
  <si>
    <t xml:space="preserve">Owner: Maksim (Finance &amp; Evaluation Analyst)</t>
  </si>
  <si>
    <t xml:space="preserve">PURPOSE</t>
  </si>
  <si>
    <t xml:space="preserve">Capture the model's answers, score them against the gold standard, and auto-produce the Accuracy Report and RAG Comparison Results.</t>
  </si>
  <si>
    <t xml:space="preserve">THE ORDER OF WORK</t>
  </si>
  <si>
    <t xml:space="preserve">Step 1</t>
  </si>
  <si>
    <t xml:space="preserve">Run the RAG pipeline over the 100 benchmark questions. Export its answers.</t>
  </si>
  <si>
    <t xml:space="preserve">Step 2</t>
  </si>
  <si>
    <t xml:space="preserve">Paste those answers into the 'ModelAnswers' sheet (yellow columns only). One row per question, per config.</t>
  </si>
  <si>
    <t xml:space="preserve">Step 3</t>
  </si>
  <si>
    <t xml:space="preserve">Go to 'Evaluation'. The question, gold answer and model answer pull through automatically. You fill in Score (1-4) and Rationale.</t>
  </si>
  <si>
    <t xml:space="preserve">Step 4</t>
  </si>
  <si>
    <t xml:space="preserve">'AccuracyReport' updates itself — average score, score distribution, per-lender and per-category breakdown, retrieval hit rate.</t>
  </si>
  <si>
    <t xml:space="preserve">Step 5</t>
  </si>
  <si>
    <t xml:space="preserve">Repeat Steps 1-4 for each RAG config, then record the headline numbers in 'RAG_Comparison'.</t>
  </si>
  <si>
    <t xml:space="preserve">COLOUR KEY</t>
  </si>
  <si>
    <t xml:space="preserve">Yellow cells</t>
  </si>
  <si>
    <t xml:space="preserve">You type here (manual input).</t>
  </si>
  <si>
    <t xml:space="preserve">Blue cells</t>
  </si>
  <si>
    <t xml:space="preserve">Auto-calculated by formula — do not overwrite.</t>
  </si>
  <si>
    <t xml:space="preserve">THE GOLDEN RULE</t>
  </si>
  <si>
    <t xml:space="preserve">Every row's 'Source Chunk ID' must exist in Metadata.csv. If the model cites a chunk that isn't there, the answer is not grounded.</t>
  </si>
  <si>
    <t xml:space="preserve">SCORING RUBRIC</t>
  </si>
  <si>
    <t xml:space="preserve">4 / 4</t>
  </si>
  <si>
    <t xml:space="preserve">Completely right — fully correct and complete.</t>
  </si>
  <si>
    <t xml:space="preserve">3 / 4</t>
  </si>
  <si>
    <t xml:space="preserve">Correct overall, but contains minor mistakes (e.g. one wrong figure).</t>
  </si>
  <si>
    <t xml:space="preserve">2 / 4</t>
  </si>
  <si>
    <t xml:space="preserve">Incorrect in general, but contains some true information.</t>
  </si>
  <si>
    <t xml:space="preserve">1 / 4</t>
  </si>
  <si>
    <t xml:space="preserve">Completely wrong — the information is incorrect.</t>
  </si>
  <si>
    <t xml:space="preserve">RETRIEVAL vs ANSWER</t>
  </si>
  <si>
    <t xml:space="preserve">Two different things are measured. 'Retrieval Hit' asks: did the system fetch the right chunk? 'Score' asks: was the final answer correct? A model can retrieve the right chunk and still answer badly — and vice versa.</t>
  </si>
  <si>
    <t xml:space="preserve">FILES THIS CONNECTS TO</t>
  </si>
  <si>
    <t xml:space="preserve">QuestionBank.xlsx (the 100 questions) · GroundTruth.xlsx (scored examples) · Metadata.csv (chunk tags)</t>
  </si>
  <si>
    <t xml:space="preserve">ID</t>
  </si>
  <si>
    <t xml:space="preserve">Lender</t>
  </si>
  <si>
    <t xml:space="preserve">Category</t>
  </si>
  <si>
    <t xml:space="preserve">Question</t>
  </si>
  <si>
    <t xml:space="preserve">Config Name</t>
  </si>
  <si>
    <t xml:space="preserve">Model Answer</t>
  </si>
  <si>
    <t xml:space="preserve">Retrieved Chunk ID</t>
  </si>
  <si>
    <t xml:space="preserve">Response Time (s)</t>
  </si>
  <si>
    <t xml:space="preserve">Tokens Used</t>
  </si>
  <si>
    <t xml:space="preserve">Est. Cost (USD)</t>
  </si>
  <si>
    <t xml:space="preserve">RES-01</t>
  </si>
  <si>
    <t xml:space="preserve">Resimac</t>
  </si>
  <si>
    <t xml:space="preserve">ELIGIBILITY</t>
  </si>
  <si>
    <t xml:space="preserve">What minimum ABN and GST registration duration does Resimac's PremiumPLUS tier require?</t>
  </si>
  <si>
    <t xml:space="preserve">RES-02</t>
  </si>
  <si>
    <t xml:space="preserve">PRICING</t>
  </si>
  <si>
    <t xml:space="preserve">What is Resimac's interest rate for electric vehicles under the PremiumPLUS tier?</t>
  </si>
  <si>
    <t xml:space="preserve">RES-03</t>
  </si>
  <si>
    <t xml:space="preserve">What triggers a +2% risk loading at Resimac, and what is the maximum total risk loading per deal?</t>
  </si>
  <si>
    <t xml:space="preserve">RES-04</t>
  </si>
  <si>
    <t xml:space="preserve">LOAN_LIMITS</t>
  </si>
  <si>
    <t xml:space="preserve">What is the maximum NAF for a Full Doc motor vehicle loan under Resimac's PremiumPLUS/Premium tier, and the per-passenger-vehicle cap?</t>
  </si>
  <si>
    <t xml:space="preserve">RES-05</t>
  </si>
  <si>
    <t xml:space="preserve">DOCUMENTATION</t>
  </si>
  <si>
    <t xml:space="preserve">Under Resimac's Lite Doc pathway, what are the ATO debt and turnover conditions?</t>
  </si>
  <si>
    <t xml:space="preserve">RES-06</t>
  </si>
  <si>
    <t xml:space="preserve">ASSET_ELIGIBILITY</t>
  </si>
  <si>
    <t xml:space="preserve">How does Resimac classify a caravan, and what is the maximum asset age at end of term?</t>
  </si>
  <si>
    <t xml:space="preserve">RES-07</t>
  </si>
  <si>
    <t xml:space="preserve">EXCLUSIONS</t>
  </si>
  <si>
    <t xml:space="preserve">Can Resimac finance software or a food truck?</t>
  </si>
  <si>
    <t xml:space="preserve">RES-08</t>
  </si>
  <si>
    <t xml:space="preserve">FEES</t>
  </si>
  <si>
    <t xml:space="preserve">How does brokerage above 5.5% affect a Resimac deal, and what is the maximum brokerage?</t>
  </si>
  <si>
    <t xml:space="preserve">RES-09</t>
  </si>
  <si>
    <t xml:space="preserve">If a Resimac applicant does not own property, what deposit is required?</t>
  </si>
  <si>
    <t xml:space="preserve">RES-10</t>
  </si>
  <si>
    <t xml:space="preserve">SETTLEMENT</t>
  </si>
  <si>
    <t xml:space="preserve">When does Resimac require a Certificate of Currency?</t>
  </si>
  <si>
    <t xml:space="preserve">RES-11</t>
  </si>
  <si>
    <t xml:space="preserve">What are the minimum Equifax credit scores for a Full Doc application at Resimac?</t>
  </si>
  <si>
    <t xml:space="preserve">RES-12</t>
  </si>
  <si>
    <t xml:space="preserve">What is the maximum loan term at Resimac, including for electric vehicles?</t>
  </si>
  <si>
    <t xml:space="preserve">RES-13</t>
  </si>
  <si>
    <t xml:space="preserve">What balloon percentage is available on a new motor vehicle over a 60-month term at Resimac?</t>
  </si>
  <si>
    <t xml:space="preserve">RES-14</t>
  </si>
  <si>
    <t xml:space="preserve">What is Resimac's rate for a secondary asset, and how does it compare to a primary asset?</t>
  </si>
  <si>
    <t xml:space="preserve">RES-15</t>
  </si>
  <si>
    <t xml:space="preserve">What are Resimac's total exposure limits for an SME versus a government entity?</t>
  </si>
  <si>
    <t xml:space="preserve">RES-16</t>
  </si>
  <si>
    <t xml:space="preserve">Does Resimac accept renters, and under which tiers?</t>
  </si>
  <si>
    <t xml:space="preserve">RES-17</t>
  </si>
  <si>
    <t xml:space="preserve">Can a discharged bankrupt get finance from Resimac?</t>
  </si>
  <si>
    <t xml:space="preserve">RES-18</t>
  </si>
  <si>
    <t xml:space="preserve">What documents are required for a Resimac Low Doc application?</t>
  </si>
  <si>
    <t xml:space="preserve">RES-19</t>
  </si>
  <si>
    <t xml:space="preserve">What is the PremiumPLUS discount at Resimac?</t>
  </si>
  <si>
    <t xml:space="preserve">RES-20</t>
  </si>
  <si>
    <t xml:space="preserve">What is the maximum NAF Resimac will finance for a single motorbike?</t>
  </si>
  <si>
    <t xml:space="preserve">RES-21</t>
  </si>
  <si>
    <t xml:space="preserve">How many customer tiers does Resimac use and what are they?</t>
  </si>
  <si>
    <t xml:space="preserve">RES-22</t>
  </si>
  <si>
    <t xml:space="preserve">Does Resimac offer consumer (personal use) loans?</t>
  </si>
  <si>
    <t xml:space="preserve">RES-23</t>
  </si>
  <si>
    <t xml:space="preserve">What is Resimac's rate for a tertiary asset?</t>
  </si>
  <si>
    <t xml:space="preserve">RES-24</t>
  </si>
  <si>
    <t xml:space="preserve">What is the maximum loan term Resimac offers on a standard (non-Green) contract?</t>
  </si>
  <si>
    <t xml:space="preserve">RES-25</t>
  </si>
  <si>
    <t xml:space="preserve">Does Resimac require PPSR registration on financed assets?</t>
  </si>
  <si>
    <t xml:space="preserve">BFS-01</t>
  </si>
  <si>
    <t xml:space="preserve">BFS</t>
  </si>
  <si>
    <t xml:space="preserve">What minimum Experian CCR score does BFS require for the Ultra Prime tier?</t>
  </si>
  <si>
    <t xml:space="preserve">BFS-02</t>
  </si>
  <si>
    <t xml:space="preserve">Which BFS tiers require an additional 20% deposit?</t>
  </si>
  <si>
    <t xml:space="preserve">BFS-03</t>
  </si>
  <si>
    <t xml:space="preserve">What is BFS's commercial base rate for a new/demo vehicle under Tier 1, and what is the maximum broker margin?</t>
  </si>
  <si>
    <t xml:space="preserve">BFS-04</t>
  </si>
  <si>
    <t xml:space="preserve">What is BFS's maximum loan term for the PRIME group, and the maximum vehicle age for terms over 60 months?</t>
  </si>
  <si>
    <t xml:space="preserve">BFS-05</t>
  </si>
  <si>
    <t xml:space="preserve">Can BFS finance heavy equipment or plant?</t>
  </si>
  <si>
    <t xml:space="preserve">BFS-06</t>
  </si>
  <si>
    <t xml:space="preserve">Can a BFS loan be used for debt consolidation or cash raising?</t>
  </si>
  <si>
    <t xml:space="preserve">BFS-07</t>
  </si>
  <si>
    <t xml:space="preserve">What rate loading and inspection requirement apply to a BFS private sale?</t>
  </si>
  <si>
    <t xml:space="preserve">BFS-08</t>
  </si>
  <si>
    <t xml:space="preserve">What happens to BFS broker commission if a contract is paid out within 12 months?</t>
  </si>
  <si>
    <t xml:space="preserve">BFS-09</t>
  </si>
  <si>
    <t xml:space="preserve">What are BFS's auto-decline triggers?</t>
  </si>
  <si>
    <t xml:space="preserve">BFS-10</t>
  </si>
  <si>
    <t xml:space="preserve">What is BFS's high-value loan range and who can access it?</t>
  </si>
  <si>
    <t xml:space="preserve">BFS-11</t>
  </si>
  <si>
    <t xml:space="preserve">What is BFS's consumer maximum rate for a new/demo vehicle under Ultra Prime?</t>
  </si>
  <si>
    <t xml:space="preserve">BFS-12</t>
  </si>
  <si>
    <t xml:space="preserve">What non-asset-backed loading applies to BFS commercial deals, and does it apply to Ultra Prime?</t>
  </si>
  <si>
    <t xml:space="preserve">BFS-13</t>
  </si>
  <si>
    <t xml:space="preserve">What is BFS's establishment fee for a commercial loan?</t>
  </si>
  <si>
    <t xml:space="preserve">BFS-14</t>
  </si>
  <si>
    <t xml:space="preserve">What conditions apply to financing an electric motorcycle at BFS?</t>
  </si>
  <si>
    <t xml:space="preserve">BFS-15</t>
  </si>
  <si>
    <t xml:space="preserve">What is the maximum loan under BFS's New Business Ventures documentation type?</t>
  </si>
  <si>
    <t xml:space="preserve">BFS-16</t>
  </si>
  <si>
    <t xml:space="preserve">What credit bureau does BFS use to assess applicants?</t>
  </si>
  <si>
    <t xml:space="preserve">BFS-17</t>
  </si>
  <si>
    <t xml:space="preserve">What is the maximum loan under BFS Plus?</t>
  </si>
  <si>
    <t xml:space="preserve">BFS-18</t>
  </si>
  <si>
    <t xml:space="preserve">How does BFS assess a board expense for a consumer applicant?</t>
  </si>
  <si>
    <t xml:space="preserve">BFS-19</t>
  </si>
  <si>
    <t xml:space="preserve">What is BFS's maximum rate cap across all tiers?</t>
  </si>
  <si>
    <t xml:space="preserve">BFS-20</t>
  </si>
  <si>
    <t xml:space="preserve">What is the maximum loan size for a BFS private sale?</t>
  </si>
  <si>
    <t xml:space="preserve">BFS-21</t>
  </si>
  <si>
    <t xml:space="preserve">Does BFS lend to individual consumers for personal-use vehicles?</t>
  </si>
  <si>
    <t xml:space="preserve">BFS-22</t>
  </si>
  <si>
    <t xml:space="preserve">Can BFS finance a forklift or excavator?</t>
  </si>
  <si>
    <t xml:space="preserve">BFS-23</t>
  </si>
  <si>
    <t xml:space="preserve">What is BFS's maximum LVR for a no-deposit application?</t>
  </si>
  <si>
    <t xml:space="preserve">BFS-24</t>
  </si>
  <si>
    <t xml:space="preserve">Does BFS accept a driver's licence with an interlock condition?</t>
  </si>
  <si>
    <t xml:space="preserve">BFS-25</t>
  </si>
  <si>
    <t xml:space="preserve">What is BFS's commercial base rate for a Tier 4 used vehicle?</t>
  </si>
  <si>
    <t xml:space="preserve">WBC-01</t>
  </si>
  <si>
    <t xml:space="preserve">Westpac</t>
  </si>
  <si>
    <t xml:space="preserve">What is the maximum DriveXpress loan for a new-to-bank Westpac customer?</t>
  </si>
  <si>
    <t xml:space="preserve">WBC-02</t>
  </si>
  <si>
    <t xml:space="preserve">What are the DriveXpress limits for an existing Westpac client by asset category?</t>
  </si>
  <si>
    <t xml:space="preserve">WBC-03</t>
  </si>
  <si>
    <t xml:space="preserve">What is Westpac's Xpress rate for a dealer-sourced car on a 36-month term, and how are EVs treated?</t>
  </si>
  <si>
    <t xml:space="preserve">WBC-04</t>
  </si>
  <si>
    <t xml:space="preserve">SPECIAL_PROGRAMS</t>
  </si>
  <si>
    <t xml:space="preserve">Under Westpac's Medical channel, what is the motor vehicle limit for a medical specialist versus an allied health practitioner?</t>
  </si>
  <si>
    <t xml:space="preserve">WBC-05</t>
  </si>
  <si>
    <t xml:space="preserve">Are pharmacists eligible under Westpac's Medical channel?</t>
  </si>
  <si>
    <t xml:space="preserve">WBC-06</t>
  </si>
  <si>
    <t xml:space="preserve">What is the maximum Rollover loan if the original funder is not Westpac?</t>
  </si>
  <si>
    <t xml:space="preserve">WBC-07</t>
  </si>
  <si>
    <t xml:space="preserve">Under Westpac's Replacement channel, what repayment increase is allowed for a new-to-bank versus existing customer?</t>
  </si>
  <si>
    <t xml:space="preserve">WBC-08</t>
  </si>
  <si>
    <t xml:space="preserve">When is a PPSR company search no longer required under Westpac's updated settlement rules?</t>
  </si>
  <si>
    <t xml:space="preserve">WBC-09</t>
  </si>
  <si>
    <t xml:space="preserve">What loading applies to a used motor vehicle aged 4-10 years under Westpac's standard rates?</t>
  </si>
  <si>
    <t xml:space="preserve">WBC-10</t>
  </si>
  <si>
    <t xml:space="preserve">For which asset categories does Westpac permit private sales?</t>
  </si>
  <si>
    <t xml:space="preserve">WBC-11</t>
  </si>
  <si>
    <t xml:space="preserve">What is Westpac's Xpress rate for heavy equipment (e.g. an excavator) from a licensed dealer?</t>
  </si>
  <si>
    <t xml:space="preserve">WBC-12</t>
  </si>
  <si>
    <t xml:space="preserve">What age limit applies to mobile cranes under Westpac's DriveXpress Category B?</t>
  </si>
  <si>
    <t xml:space="preserve">WBC-13</t>
  </si>
  <si>
    <t xml:space="preserve">What special Category C provision applies only under Westpac's Replacement channel?</t>
  </si>
  <si>
    <t xml:space="preserve">WBC-14</t>
  </si>
  <si>
    <t xml:space="preserve">What is Westpac's standard rate for new plant and equipment financed at $50,000-$150,000 over a 24-36 month term?</t>
  </si>
  <si>
    <t xml:space="preserve">WBC-15</t>
  </si>
  <si>
    <t xml:space="preserve">What universal eligibility criteria apply across all Westpac WEF channels?</t>
  </si>
  <si>
    <t xml:space="preserve">WBC-16</t>
  </si>
  <si>
    <t xml:space="preserve">How many specialist channels does Westpac Equipment Finance operate, and what are they?</t>
  </si>
  <si>
    <t xml:space="preserve">WBC-17</t>
  </si>
  <si>
    <t xml:space="preserve">What is the maximum DriveXpress exposure for an existing Westpac client?</t>
  </si>
  <si>
    <t xml:space="preserve">WBC-18</t>
  </si>
  <si>
    <t xml:space="preserve">What is the fleet-policy exemption for a Certificate of Currency at Westpac?</t>
  </si>
  <si>
    <t xml:space="preserve">WBC-19</t>
  </si>
  <si>
    <t xml:space="preserve">What is the maximum brokerage on a Westpac Xpress deal?</t>
  </si>
  <si>
    <t xml:space="preserve">WBC-20</t>
  </si>
  <si>
    <t xml:space="preserve">What is the new medical equipment limit for a specialist under Westpac's Medical channel?</t>
  </si>
  <si>
    <t xml:space="preserve">WBC-21</t>
  </si>
  <si>
    <t xml:space="preserve">Which asset category does a tractor fall under in Westpac's DriveXpress?</t>
  </si>
  <si>
    <t xml:space="preserve">WBC-22</t>
  </si>
  <si>
    <t xml:space="preserve">Can a new-to-bank customer use Westpac's Rollover channel?</t>
  </si>
  <si>
    <t xml:space="preserve">WBC-23</t>
  </si>
  <si>
    <t xml:space="preserve">Do Westpac's standard rates apply to Xpress (DriveXpress) deals?</t>
  </si>
  <si>
    <t xml:space="preserve">WBC-24</t>
  </si>
  <si>
    <t xml:space="preserve">Does Westpac finance novated leases?</t>
  </si>
  <si>
    <t xml:space="preserve">WBC-25</t>
  </si>
  <si>
    <t xml:space="preserve">Is a physiotherapist eligible under Westpac's Medical channel?</t>
  </si>
  <si>
    <t xml:space="preserve">CFA-01</t>
  </si>
  <si>
    <t xml:space="preserve">CFAL</t>
  </si>
  <si>
    <t xml:space="preserve">What minimum ABN registration duration does CFAL require, and does it offer consumer loans?</t>
  </si>
  <si>
    <t xml:space="preserve">CFA-02</t>
  </si>
  <si>
    <t xml:space="preserve">Does CFAL offer a Low Doc option, and how old can financial statements be?</t>
  </si>
  <si>
    <t xml:space="preserve">CFA-03</t>
  </si>
  <si>
    <t xml:space="preserve">What is the CFAL DriveXpress limit for a new-to-bank customer, and is this channel shared?</t>
  </si>
  <si>
    <t xml:space="preserve">CFA-04</t>
  </si>
  <si>
    <t xml:space="preserve">Under CFAL's Medical channel, what is the cumulative approval cap for an allied health practitioner?</t>
  </si>
  <si>
    <t xml:space="preserve">CFA-05</t>
  </si>
  <si>
    <t xml:space="preserve">What is the maximum CFAL Rollover loan when the original funder is another financier?</t>
  </si>
  <si>
    <t xml:space="preserve">CFA-06</t>
  </si>
  <si>
    <t xml:space="preserve">What is the maximum CFAL Replacement loan for an existing client financing Category B or C goods?</t>
  </si>
  <si>
    <t xml:space="preserve">CFA-07</t>
  </si>
  <si>
    <t xml:space="preserve">Under CFAL's updated rules, when is a PPSR company search no longer required?</t>
  </si>
  <si>
    <t xml:space="preserve">CFA-08</t>
  </si>
  <si>
    <t xml:space="preserve">Can CFAL do a private sale for heavy equipment (Category B)?</t>
  </si>
  <si>
    <t xml:space="preserve">CFA-09</t>
  </si>
  <si>
    <t xml:space="preserve">What loan term is available for government/school/local route buses under CFAL's Replacement Category C?</t>
  </si>
  <si>
    <t xml:space="preserve">CFA-10</t>
  </si>
  <si>
    <t xml:space="preserve">Must all directors guarantee a CFAL loan?</t>
  </si>
  <si>
    <t xml:space="preserve">CFA-11</t>
  </si>
  <si>
    <t xml:space="preserve">For a CFAL transaction above $1m, what additional documents are required beyond the standard set?</t>
  </si>
  <si>
    <t xml:space="preserve">CFA-12</t>
  </si>
  <si>
    <t xml:space="preserve">What are the CFAL DriveXpress limits for an existing client by asset category?</t>
  </si>
  <si>
    <t xml:space="preserve">CFA-13</t>
  </si>
  <si>
    <t xml:space="preserve">What repayment increase does CFAL's Replacement channel allow for an existing customer?</t>
  </si>
  <si>
    <t xml:space="preserve">CFA-14</t>
  </si>
  <si>
    <t xml:space="preserve">What are CFAL's Medical channel eligibility conditions for a new client?</t>
  </si>
  <si>
    <t xml:space="preserve">CFA-15</t>
  </si>
  <si>
    <t xml:space="preserve">What deposit does CFAL require for a non-asset-backed application in a 'Remote' area?</t>
  </si>
  <si>
    <t xml:space="preserve">CFA-16</t>
  </si>
  <si>
    <t xml:space="preserve">Where does CFAL's ATO/statutory compliance requirement come from and what does it require?</t>
  </si>
  <si>
    <t xml:space="preserve">CFA-17</t>
  </si>
  <si>
    <t xml:space="preserve">What documents does CFAL require at the $250k or below transaction band?</t>
  </si>
  <si>
    <t xml:space="preserve">CFA-18</t>
  </si>
  <si>
    <t xml:space="preserve">What is the age limit for Category C agricultural equipment under CFAL's DriveXpress?</t>
  </si>
  <si>
    <t xml:space="preserve">CFA-19</t>
  </si>
  <si>
    <t xml:space="preserve">Whose interest must be noted on the insurance for a CFAL-financed asset?</t>
  </si>
  <si>
    <t xml:space="preserve">CFA-20</t>
  </si>
  <si>
    <t xml:space="preserve">How long must a contract have been operating to be eligible for CFAL Rollover?</t>
  </si>
  <si>
    <t xml:space="preserve">CFA-21</t>
  </si>
  <si>
    <t xml:space="preserve">Does CFAL publish a public rate card?</t>
  </si>
  <si>
    <t xml:space="preserve">CFA-22</t>
  </si>
  <si>
    <t xml:space="preserve">Is CFAL's DriveXpress a standalone product unrelated to other lenders?</t>
  </si>
  <si>
    <t xml:space="preserve">CFA-23</t>
  </si>
  <si>
    <t xml:space="preserve">Does CFAL finance charter buses?</t>
  </si>
  <si>
    <t xml:space="preserve">CFA-24</t>
  </si>
  <si>
    <t xml:space="preserve">Are pharmacists eligible under CFAL's Medical channel?</t>
  </si>
  <si>
    <t xml:space="preserve">CFA-25</t>
  </si>
  <si>
    <t xml:space="preserve">Does CFAL have a Low Doc fast-approval documentation option for large transactions?</t>
  </si>
  <si>
    <t xml:space="preserve">ANG-01</t>
  </si>
  <si>
    <t xml:space="preserve">Angle</t>
  </si>
  <si>
    <t xml:space="preserve">What are the qualifying criteria for Angle's $400k Low Doc program?</t>
  </si>
  <si>
    <t xml:space="preserve">ANG-02</t>
  </si>
  <si>
    <t xml:space="preserve">Which applicants and assets are excluded from Angle's $400k Low Doc program?</t>
  </si>
  <si>
    <t xml:space="preserve">ANG-03</t>
  </si>
  <si>
    <t xml:space="preserve">What is the maximum loan and deposit under Angle's Start-Up product?</t>
  </si>
  <si>
    <t xml:space="preserve">ANG-04</t>
  </si>
  <si>
    <t xml:space="preserve">What entity types qualify for Angle's Prime Movers product, and is Low Doc available?</t>
  </si>
  <si>
    <t xml:space="preserve">ANG-05</t>
  </si>
  <si>
    <t xml:space="preserve">Does Angle accept spousal property, and what deposit do non-property owners pay?</t>
  </si>
  <si>
    <t xml:space="preserve">ANG-06</t>
  </si>
  <si>
    <t xml:space="preserve">What is Angle's establishment fee and maximum brokerage?</t>
  </si>
  <si>
    <t xml:space="preserve">ANG-07</t>
  </si>
  <si>
    <t xml:space="preserve">How does a customer's credit score determine total exposure at Angle?</t>
  </si>
  <si>
    <t xml:space="preserve">ANG-08</t>
  </si>
  <si>
    <t xml:space="preserve">Does Angle finance taxi or Uber drivers?</t>
  </si>
  <si>
    <t xml:space="preserve">ANG-09</t>
  </si>
  <si>
    <t xml:space="preserve">When does Angle require a Certificate of Currency, and how are private sales inspected?</t>
  </si>
  <si>
    <t xml:space="preserve">ANG-10</t>
  </si>
  <si>
    <t xml:space="preserve">What is the maximum balloon on an Angle loan over a 60-month term?</t>
  </si>
  <si>
    <t xml:space="preserve">ANG-11</t>
  </si>
  <si>
    <t xml:space="preserve">What credit score does Angle require for Mid Doc, and what bank statements are needed?</t>
  </si>
  <si>
    <t xml:space="preserve">ANG-12</t>
  </si>
  <si>
    <t xml:space="preserve">What is Angle's headline rate for an 8+ year ABN, 4+ year GST customer buying primary assets?</t>
  </si>
  <si>
    <t xml:space="preserve">ANG-13</t>
  </si>
  <si>
    <t xml:space="preserve">What ABN age and credit score does Angle require for Prime Movers, and what loading applies?</t>
  </si>
  <si>
    <t xml:space="preserve">ANG-14</t>
  </si>
  <si>
    <t xml:space="preserve">What bank statement history does Angle's Start-Up product require?</t>
  </si>
  <si>
    <t xml:space="preserve">ANG-15</t>
  </si>
  <si>
    <t xml:space="preserve">What does Angle's Full Doc require for a transaction over $1 million?</t>
  </si>
  <si>
    <t xml:space="preserve">ANG-16</t>
  </si>
  <si>
    <t xml:space="preserve">What is the maximum loan term Angle offers on a primary motor vehicle?</t>
  </si>
  <si>
    <t xml:space="preserve">ANG-17</t>
  </si>
  <si>
    <t xml:space="preserve">What is Angle's rate for a prime mover?</t>
  </si>
  <si>
    <t xml:space="preserve">ANG-18</t>
  </si>
  <si>
    <t xml:space="preserve">What is the maximum motor vehicle finance amount under Angle's Low Doc?</t>
  </si>
  <si>
    <t xml:space="preserve">ANG-19</t>
  </si>
  <si>
    <t xml:space="preserve">What proof of property ownership does Angle require?</t>
  </si>
  <si>
    <t xml:space="preserve">ANG-20</t>
  </si>
  <si>
    <t xml:space="preserve">Can an applicant with a paid financial default get finance from Angle?</t>
  </si>
  <si>
    <t xml:space="preserve">ANG-21</t>
  </si>
  <si>
    <t xml:space="preserve">Can a business with an ABN under 2 years get finance from Angle?</t>
  </si>
  <si>
    <t xml:space="preserve">ANG-22</t>
  </si>
  <si>
    <t xml:space="preserve">Can a sole trader finance a prime mover with Angle?</t>
  </si>
  <si>
    <t xml:space="preserve">ANG-23</t>
  </si>
  <si>
    <t xml:space="preserve">Can a mortgage statement in a spouse's name be used as a credit reference at Angle?</t>
  </si>
  <si>
    <t xml:space="preserve">ANG-24</t>
  </si>
  <si>
    <t xml:space="preserve">Does Angle charge a rate loading for brokerage?</t>
  </si>
  <si>
    <t xml:space="preserve">ANG-25</t>
  </si>
  <si>
    <t xml:space="preserve">Does Angle apply a rate loading to private sales?</t>
  </si>
  <si>
    <t xml:space="preserve">MET-01</t>
  </si>
  <si>
    <t xml:space="preserve">Metro</t>
  </si>
  <si>
    <t xml:space="preserve">What is Metro's prime rate for a passenger vehicle under 5 years old?</t>
  </si>
  <si>
    <t xml:space="preserve">MET-02</t>
  </si>
  <si>
    <t xml:space="preserve">What loadings does Metro apply for older assets and private sales?</t>
  </si>
  <si>
    <t xml:space="preserve">MET-03</t>
  </si>
  <si>
    <t xml:space="preserve">What deposit does Metro require for a non-property backed passenger vehicle loan?</t>
  </si>
  <si>
    <t xml:space="preserve">MET-04</t>
  </si>
  <si>
    <t xml:space="preserve">What Metro exposure applies to a customer with 24 months of good repayment history?</t>
  </si>
  <si>
    <t xml:space="preserve">MET-05</t>
  </si>
  <si>
    <t xml:space="preserve">Are prime movers eligible under Metro's Trucks, Trailers &amp; Wheeled Equipment streamlined product?</t>
  </si>
  <si>
    <t xml:space="preserve">MET-06</t>
  </si>
  <si>
    <t xml:space="preserve">What GST registration and farm size does Metro require under the Agri streamlined product?</t>
  </si>
  <si>
    <t xml:space="preserve">MET-07</t>
  </si>
  <si>
    <t xml:space="preserve">Can Metro finance equipment under the Other Equipment streamlined product via private sale?</t>
  </si>
  <si>
    <t xml:space="preserve">MET-08</t>
  </si>
  <si>
    <t xml:space="preserve">Under Metro's Replacement Policy, how long must the contract being replaced have run?</t>
  </si>
  <si>
    <t xml:space="preserve">MET-09</t>
  </si>
  <si>
    <t xml:space="preserve">What rate discount and loan term apply to MetroEco electric trucks?</t>
  </si>
  <si>
    <t xml:space="preserve">MET-10</t>
  </si>
  <si>
    <t xml:space="preserve">What is Metro's maximum lending in a 12-month period under streamlined products?</t>
  </si>
  <si>
    <t xml:space="preserve">MET-11</t>
  </si>
  <si>
    <t xml:space="preserve">What is the maximum loan for a new Metro customer buying a truck, and what is the private sale cap?</t>
  </si>
  <si>
    <t xml:space="preserve">MET-12</t>
  </si>
  <si>
    <t xml:space="preserve">What is the maximum asset age at end of term for a Metro passenger vehicle?</t>
  </si>
  <si>
    <t xml:space="preserve">MET-13</t>
  </si>
  <si>
    <t xml:space="preserve">What is the maximum loan under Metro's Replacement Policy for medium and heavy commercial vehicles?</t>
  </si>
  <si>
    <t xml:space="preserve">MET-14</t>
  </si>
  <si>
    <t xml:space="preserve">What loan term does MetroEco offer for a commercial electric vehicle?</t>
  </si>
  <si>
    <t xml:space="preserve">MET-15</t>
  </si>
  <si>
    <t xml:space="preserve">What is the maximum loan for agricultural implements under Metro's Agri product?</t>
  </si>
  <si>
    <t xml:space="preserve">MET-16</t>
  </si>
  <si>
    <t xml:space="preserve">How does brokerage above 4% affect a Metro rate?</t>
  </si>
  <si>
    <t xml:space="preserve">MET-17</t>
  </si>
  <si>
    <t xml:space="preserve">What fees does Metro charge?</t>
  </si>
  <si>
    <t xml:space="preserve">MET-18</t>
  </si>
  <si>
    <t xml:space="preserve">When must a contract be to qualify for Metro's Balloon/Residual Refinance product?</t>
  </si>
  <si>
    <t xml:space="preserve">MET-19</t>
  </si>
  <si>
    <t xml:space="preserve">Does Metro finance dairy and irrigation equipment under the Agri product?</t>
  </si>
  <si>
    <t xml:space="preserve">MET-20</t>
  </si>
  <si>
    <t xml:space="preserve">What GST registration does Metro require for the passenger vehicle streamlined product?</t>
  </si>
  <si>
    <t xml:space="preserve">MET-21</t>
  </si>
  <si>
    <t xml:space="preserve">Does Metro allow sale and hire back under its streamlined products?</t>
  </si>
  <si>
    <t xml:space="preserve">MET-22</t>
  </si>
  <si>
    <t xml:space="preserve">Can Metro finance IT and audio-visual equipment under the Other Equipment product?</t>
  </si>
  <si>
    <t xml:space="preserve">MET-23</t>
  </si>
  <si>
    <t xml:space="preserve">Does MetroEco finance hybrid vehicles?</t>
  </si>
  <si>
    <t xml:space="preserve">MET-24</t>
  </si>
  <si>
    <t xml:space="preserve">Are taxi and Uber applications accepted by Metro?</t>
  </si>
  <si>
    <t xml:space="preserve">MET-25</t>
  </si>
  <si>
    <t xml:space="preserve">What is Metro's maximum single asset and customer exposure?</t>
  </si>
  <si>
    <t xml:space="preserve">FLX-01</t>
  </si>
  <si>
    <t xml:space="preserve">Flexi</t>
  </si>
  <si>
    <t xml:space="preserve">What is the flexipremium rate for a primary asset funded between $100,001 and $500,000?</t>
  </si>
  <si>
    <t xml:space="preserve">FLX-02</t>
  </si>
  <si>
    <t xml:space="preserve">What time in business does flexipremium require, and are sole traders eligible?</t>
  </si>
  <si>
    <t xml:space="preserve">FLX-03</t>
  </si>
  <si>
    <t xml:space="preserve">What is flexicommercial's standard base rate for a primary asset above $150,001?</t>
  </si>
  <si>
    <t xml:space="preserve">FLX-04</t>
  </si>
  <si>
    <t xml:space="preserve">What add-ons does flexicommercial apply to its standard base rates?</t>
  </si>
  <si>
    <t xml:space="preserve">FLX-05</t>
  </si>
  <si>
    <t xml:space="preserve">What are flexicommercial's maximum exposures by asset class?</t>
  </si>
  <si>
    <t xml:space="preserve">FLX-06</t>
  </si>
  <si>
    <t xml:space="preserve">Does flexicommercial fund SUVs or passenger cars?</t>
  </si>
  <si>
    <t xml:space="preserve">FLX-07</t>
  </si>
  <si>
    <t xml:space="preserve">How old can a primary asset be at end of term at flexicommercial?</t>
  </si>
  <si>
    <t xml:space="preserve">FLX-08</t>
  </si>
  <si>
    <t xml:space="preserve">What is the maximum transaction size and repayment increase under flexireplacement?</t>
  </si>
  <si>
    <t xml:space="preserve">FLX-09</t>
  </si>
  <si>
    <t xml:space="preserve">Under flexireplacement, what conditions apply to the facility being replaced?</t>
  </si>
  <si>
    <t xml:space="preserve">FLX-10</t>
  </si>
  <si>
    <t xml:space="preserve">What is flexicommercial's establishment fee?</t>
  </si>
  <si>
    <t xml:space="preserve">FLX-11</t>
  </si>
  <si>
    <t xml:space="preserve">What is flexicommercial's maximum brokerage on a deal of $60,000?</t>
  </si>
  <si>
    <t xml:space="preserve">FLX-12</t>
  </si>
  <si>
    <t xml:space="preserve">How old can assets be under flexipremium?</t>
  </si>
  <si>
    <t xml:space="preserve">FLX-13</t>
  </si>
  <si>
    <t xml:space="preserve">How can a flexicommercial customer increase their exposure to $750K?</t>
  </si>
  <si>
    <t xml:space="preserve">FLX-14</t>
  </si>
  <si>
    <t xml:space="preserve">What brokerage applies to a flexicommercial mid-term refinance?</t>
  </si>
  <si>
    <t xml:space="preserve">FLX-15</t>
  </si>
  <si>
    <t xml:space="preserve">How does a flexipremium Low Start Loan work?</t>
  </si>
  <si>
    <t xml:space="preserve">FLX-16</t>
  </si>
  <si>
    <t xml:space="preserve">What ABN and GST duration does flexicommercial's Credit Matrix require?</t>
  </si>
  <si>
    <t xml:space="preserve">FLX-17</t>
  </si>
  <si>
    <t xml:space="preserve">What is the maximum exposure for IT assets at flexicommercial?</t>
  </si>
  <si>
    <t xml:space="preserve">FLX-18</t>
  </si>
  <si>
    <t xml:space="preserve">What is flexicommercial's maximum loan term?</t>
  </si>
  <si>
    <t xml:space="preserve">FLX-19</t>
  </si>
  <si>
    <t xml:space="preserve">Are sole traders eligible at flexicommercial?</t>
  </si>
  <si>
    <t xml:space="preserve">FLX-20</t>
  </si>
  <si>
    <t xml:space="preserve">Can flexireplacement be used for balloon refinances?</t>
  </si>
  <si>
    <t xml:space="preserve">FLX-21</t>
  </si>
  <si>
    <t xml:space="preserve">Does flexicommercial finance passenger cars for a rental car business?</t>
  </si>
  <si>
    <t xml:space="preserve">FLX-22</t>
  </si>
  <si>
    <t xml:space="preserve">What is the maximum brokerage on a flexipremium deal?</t>
  </si>
  <si>
    <t xml:space="preserve">FLX-23</t>
  </si>
  <si>
    <t xml:space="preserve">Do transport operators need to be asset backed at flexicommercial?</t>
  </si>
  <si>
    <t xml:space="preserve">FLX-24</t>
  </si>
  <si>
    <t xml:space="preserve">What is flexicommercial's minimum deal size?</t>
  </si>
  <si>
    <t xml:space="preserve">FLX-25</t>
  </si>
  <si>
    <t xml:space="preserve">How does flexicommercial classify medical and dental equipment?</t>
  </si>
  <si>
    <t xml:space="preserve">Gold-Standard Answer (4/4)</t>
  </si>
  <si>
    <t xml:space="preserve">Model Answer (auto)</t>
  </si>
  <si>
    <t xml:space="preserve">Expected Chunk ID</t>
  </si>
  <si>
    <t xml:space="preserve">Retrieved Chunk ID (auto)</t>
  </si>
  <si>
    <t xml:space="preserve">Retrieval Hit (auto)</t>
  </si>
  <si>
    <t xml:space="preserve">Score (1-4)</t>
  </si>
  <si>
    <t xml:space="preserve">Score Rationale</t>
  </si>
  <si>
    <t xml:space="preserve">Reviewer</t>
  </si>
  <si>
    <t xml:space="preserve">Review Date</t>
  </si>
  <si>
    <t xml:space="preserve">Resimac's PremiumPLUS tier requires an ABN registered for more than 6 years and GST registered for more than 3 years. PremiumPLUS accepts property-backed borrowers only.</t>
  </si>
  <si>
    <t xml:space="preserve">resimac_customer_tiers</t>
  </si>
  <si>
    <t xml:space="preserve">Electric vehicles are priced at 7.54% p.a. for PremiumPLUS clients (7.79% p.a. for Premium/Standard/Basic). This is the lowest rate in Resimac's range, and EVs also qualify for extended Green Goods terms up to 84 months.</t>
  </si>
  <si>
    <t xml:space="preserve">resimac_interest_rates</t>
  </si>
  <si>
    <t xml:space="preserve">A +2% risk loading applies to each of: private sales, classic cars, assets with age over 16 years at end of term, and prime movers. Multiple loadings can stack, but the total risk loading is capped at 4% per deal (excluding brokerage loading).</t>
  </si>
  <si>
    <t xml:space="preserve">Under PremiumPLUS/Premium, the maximum Full Doc NAF for motor vehicles is $450k. However, the maximum NAF per individual passenger vehicle is capped at $250k regardless of tier.</t>
  </si>
  <si>
    <t xml:space="preserve">resimac_loan_limits</t>
  </si>
  <si>
    <t xml:space="preserve">For Lite Doc, ATO debt must be under 10% of annual turnover and under an established payment arrangement in place for more than 3 months. The BAS must show an annualised minimum turnover of more than 2.5x the asset purchase price.</t>
  </si>
  <si>
    <t xml:space="preserve">resimac_documentation</t>
  </si>
  <si>
    <t xml:space="preserve">A caravan is classified as a Primary Asset at Resimac. The maximum asset age at end of term for primary assets is 25 years.</t>
  </si>
  <si>
    <t xml:space="preserve">resimac_asset_categories</t>
  </si>
  <si>
    <t xml:space="preserve">No. Both software and food trucks are on Resimac's excluded assets list and cannot be financed under any circumstances, regardless of customer tier or documentation type.</t>
  </si>
  <si>
    <t xml:space="preserve">resimac_exclusions</t>
  </si>
  <si>
    <t xml:space="preserve">Brokerage up to 5.5% (inclusive of GST) has no rate impact. Above 5.5%, the rate increases by the equivalent of 0.5% for every 1% of brokerage (or part thereof) above the threshold. Maximum brokerage is 8.8% inclusive of GST.</t>
  </si>
  <si>
    <t xml:space="preserve">resimac_fees_brokerage</t>
  </si>
  <si>
    <t xml:space="preserve">For non property-backed applicants, a 10% deposit is required for motor vehicles and a 20% deposit is required for all other asset types. Spouse-owned property does not count as property backing but can waive a deposit if the borrower is legally married (not de facto).</t>
  </si>
  <si>
    <t xml:space="preserve">Resimac requires a Certificate of Currency (proof of insurance) for NAF amounts greater than $100k. Insurance is required on all deals regardless of size.</t>
  </si>
  <si>
    <t xml:space="preserve">resimac_settlement</t>
  </si>
  <si>
    <t xml:space="preserve">For Full Doc, the minimum Equifax score is 600 for a sole trader and 550 for a company/guarantor. Any individual company or guarantor score below 450 results in referral to credit or decline. Resimac uses the highest score among the company or any guarantor as the assessment score.</t>
  </si>
  <si>
    <t xml:space="preserve">Standard loan terms are 12-60 months. Green Goods (electric vehicles and sustainable assets) qualify for extended terms up to 84 months.</t>
  </si>
  <si>
    <t xml:space="preserve">For a new vehicle (0-3 years) over a 60-month term, the maximum balloon is 40%. Balloon payments are commercial only and exclude secondary assets, tertiary assets, and classic cars.</t>
  </si>
  <si>
    <t xml:space="preserve">Secondary assets are priced at 12.39% p.a. (PremiumPLUS) / 12.64% (other tiers). This is materially higher than primary assets, which are 8.39-9.29% (PremiumPLUS) depending on age, reflecting reduced secondary-market liquidity.</t>
  </si>
  <si>
    <t xml:space="preserve">SME borrowers have a maximum total exposure of $500k. Government/sovereign entities have a maximum total exposure of $2 million (the same $2m cap applies to S&amp;P 'A' or Moody's 'A2' rated entities).</t>
  </si>
  <si>
    <t xml:space="preserve">Renters are accepted under the Standard and Basic tiers only. PremiumPLUS and Premium are property-backed only. Spouse-owned property does not constitute property backing but can waive a deposit.</t>
  </si>
  <si>
    <t xml:space="preserve">No. Resimac does not accept discharged bankrupts within the last 10 years, and does not accept current bankrupts at all.</t>
  </si>
  <si>
    <t xml:space="preserve">Low Doc requires only an application plus privacy consent and an asset &amp; liability statement. No ATO portals, BAS, or bank statements are required. Low Doc is not available for tertiary assets.</t>
  </si>
  <si>
    <t xml:space="preserve">PremiumPLUS clients receive a 25 basis point (0.25%) discount below the Premium/Standard/Basic rate for the same asset category.</t>
  </si>
  <si>
    <t xml:space="preserve">The maximum NAF per motorbike is $75k. Motorbikes are classified under Motor Vehicles.</t>
  </si>
  <si>
    <t xml:space="preserve">Resimac uses four customer tiers: PremiumPLUS, Premium, Standard, and Basic. Tier determines interest rate, maximum loan amount, and accepted property types.</t>
  </si>
  <si>
    <t xml:space="preserve">No. Resimac finances commercial ABN holders only — there are no personal/consumer loans.</t>
  </si>
  <si>
    <t xml:space="preserve">Tertiary assets are priced at 14.09% p.a. (PremiumPLUS) / 14.34% (other tiers) — the highest rate in Resimac's range.</t>
  </si>
  <si>
    <t xml:space="preserve">Standard (non-Green Goods) loan terms are 12-60 months.</t>
  </si>
  <si>
    <t xml:space="preserve">Yes. PPSR registration is required on all financed assets, with PPSR fees charged at cost.</t>
  </si>
  <si>
    <t xml:space="preserve">BFS's Ultra Prime tier requires a minimum Experian CCR score of 960. It offers the best rates and access to all products. BFS tiers are based on the Experian CCR score of the primary borrower or guarantor.</t>
  </si>
  <si>
    <t xml:space="preserve">bfs_customer_tiers</t>
  </si>
  <si>
    <t xml:space="preserve">Tier 3 (min CCR 550) and Tier 4 (min CCR 400) both require an additional 20% deposit. Tier 4 also cannot write commercial used-vehicle contracts.</t>
  </si>
  <si>
    <t xml:space="preserve">The Tier 1 commercial base rate for a new/demo vehicle is 8.25% p.a. Brokers may add a margin up to a maximum of +6% above base, subject to an overall rate cap of 17.15%.</t>
  </si>
  <si>
    <t xml:space="preserve">bfs_commercial_rates</t>
  </si>
  <si>
    <t xml:space="preserve">PRIME terms range from 12 to 84 months. For terms over 60 months, the maximum vehicle age is 7 years at start of term; for terms of 60 months or less it is 15 years at start of term.</t>
  </si>
  <si>
    <t xml:space="preserve">bfs_loan_limits_terms</t>
  </si>
  <si>
    <t xml:space="preserve">No. BFS finances motor vehicles only (all under 4.5T GVM) — passenger vehicles, light commercial, motorcycles, motorhomes, campervans, caravans and camper trailers. It does not finance heavy equipment, plant, or agriculture.</t>
  </si>
  <si>
    <t xml:space="preserve">bfs_vehicle_types</t>
  </si>
  <si>
    <t xml:space="preserve">No. Debt consolidation, cash raising, top-up loans, sale and buyback, sale and leaseback, and mid-term refinancing are all excluded loan purposes across all tiers with no exceptions.</t>
  </si>
  <si>
    <t xml:space="preserve">bfs_exclusions</t>
  </si>
  <si>
    <t xml:space="preserve">Private sales attract a +0.50% rate loading on both commercial and consumer rates and require a vehicle inspection report (DoxAI Asset Verification, preferred, or Redbook). Private sales are capped at $150k (PRIME) and must be arm's length.</t>
  </si>
  <si>
    <t xml:space="preserve">bfs_private_sales</t>
  </si>
  <si>
    <t xml:space="preserve">If a contract is terminated or paid in full within 12 months, 100% of all commissions and incentives are refunded (clawed back) to BFS. Separately, repossession or write-off within 24 months also triggers a 100% commission refund.</t>
  </si>
  <si>
    <t xml:space="preserve">bfs_fees_and_commission</t>
  </si>
  <si>
    <t xml:space="preserve">Auto-decline (no resubmission) applies when all individuals and guarantors have CCR below 400 (consumer and commercial new/demo), or below 550 (commercial used), or the applicant is currently bankrupt, or consumer net monthly income is below $2,318.</t>
  </si>
  <si>
    <t xml:space="preserve">High-value loans of $250,000-$400,000 are available to Ultra Prime through Tier 2 only, assessed case-by-case, requiring a minimum 20% deposit and asset-backed applicants only. Standard PRIME loans are $5,000-$250,000.</t>
  </si>
  <si>
    <t xml:space="preserve">The Ultra Prime consumer maximum rate for a new/demo vehicle is 9.15% p.a. Consumer pricing shows maximum rates, and a discount of up to 2% may be applied.</t>
  </si>
  <si>
    <t xml:space="preserve">bfs_consumer_rates</t>
  </si>
  <si>
    <t xml:space="preserve">The commercial non-asset-backed loading is +1.85% and applies to Tier 1 through Tier 4 only — it does not apply to Ultra Prime.</t>
  </si>
  <si>
    <t xml:space="preserve">The standard commercial establishment fee is $575. For a commercial private sale it is $675. (Consumer is $525 standard / $625 private sale.)</t>
  </si>
  <si>
    <t xml:space="preserve">Electric motorcycles are accepted if their maximum speed exceeds 80 km/h. Motorcycles generally have a max term of 60 months, no balloon payments, must be registered (on-road 2/3/4 wheels), and require an upfront invoice to be loaded in QuickSell.</t>
  </si>
  <si>
    <t xml:space="preserve">New Business Ventures is capped at $100k total exposure, is available to Ultra Prime through Tier 4 only, and is for businesses with less than 12 months ABN. It requires 90-day bank statements (plus a run contract for couriers).</t>
  </si>
  <si>
    <t xml:space="preserve">bfs_commercial_documentation</t>
  </si>
  <si>
    <t xml:space="preserve">BFS uses the Experian CCR score of the primary borrower or guarantor to determine tier.</t>
  </si>
  <si>
    <t xml:space="preserve">BFS Plus loans range from $5,000 to $100,000, with terms of 12-60 months, for passenger and light commercial vehicles only.</t>
  </si>
  <si>
    <t xml:space="preserve">For board, BFS applies the higher of the declared amount or $400 per month.</t>
  </si>
  <si>
    <t xml:space="preserve">bfs_consumer_documentation</t>
  </si>
  <si>
    <t xml:space="preserve">The maximum rate cap across all tiers is 17.15%.</t>
  </si>
  <si>
    <t xml:space="preserve">Private sales are capped at $150k for PRIME tiers.</t>
  </si>
  <si>
    <t xml:space="preserve">Yes. BFS is the only lender in this group to serve both commercial and individual consumer (personal use) borrowers.</t>
  </si>
  <si>
    <t xml:space="preserve">No. BFS finances motor vehicles under 4.5T GVM only; forklifts and excavators are heavy equipment and are not eligible.</t>
  </si>
  <si>
    <t xml:space="preserve">The maximum LVR is 120% for no-deposit applications. Glass's Retail Value is applied to used vehicles.</t>
  </si>
  <si>
    <t xml:space="preserve">No. Licences with interlock conditions are not accepted by BFS.</t>
  </si>
  <si>
    <t xml:space="preserve">Tier 4 does not accept commercial used-vehicle contracts, so there is no Tier 4 commercial used rate (shown as N/A).</t>
  </si>
  <si>
    <t xml:space="preserve">A new-to-business-bank customer can borrow up to $150k under DriveXpress (across Categories A, B &amp; C), provided they own residential property and have minimum income of $75k p.a. Their maximum DriveXpress exposure is $250k.</t>
  </si>
  <si>
    <t xml:space="preserve">westpac_drivexpress</t>
  </si>
  <si>
    <t xml:space="preserve">For an existing client, DriveXpress limits are $200k for Category A, $300k for Category B, and $500k for Category C, with a maximum DriveXpress exposure of $750k.</t>
  </si>
  <si>
    <t xml:space="preserve">A licensed-dealer car (up to 5 years old) on a 24/36/48-month term is 7.75% p.a. (60 months is 7.85%). For electric vehicles, the applicable rate is reduced by 1%.</t>
  </si>
  <si>
    <t xml:space="preserve">westpac_xpress_rates</t>
  </si>
  <si>
    <t xml:space="preserve">For a medical specialist/GP/dental/vet, the motor vehicle limit (vehicle up to 5 years old) is under $250,000. For an allied health practitioner it is under $150,000. Cumulative approval caps are under $500k and under $250k respectively.</t>
  </si>
  <si>
    <t xml:space="preserve">westpac_medical</t>
  </si>
  <si>
    <t xml:space="preserve">No. Pharmacists are explicitly excluded from Westpac's Medical channel. Eligible allied health practitioners include occupational therapists, optometrists, osteopaths, physiotherapists, chiropractors, audiologists, pathology services, podiatrists, psychologists and speech pathologists.</t>
  </si>
  <si>
    <t xml:space="preserve">If the original funder is another financier, the Rollover maximum is $250k (inspection required), for Category A &amp; B goods only. If the original funder is Westpac, the maximum is $500k for all categories. New-to-bank clients are not eligible for Rollover.</t>
  </si>
  <si>
    <t xml:space="preserve">westpac_rollover</t>
  </si>
  <si>
    <t xml:space="preserve">Monthly repayments must be within 125% of the payment being replaced for new-to-bank customers, and within 150% for existing customers. The contract being replaced must have operated at least 12 months and been finalised within the last 6 months / on settlement.</t>
  </si>
  <si>
    <t xml:space="preserve">westpac_replacement</t>
  </si>
  <si>
    <t xml:space="preserve">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</si>
  <si>
    <t xml:space="preserve">westpac_settlement</t>
  </si>
  <si>
    <t xml:space="preserve">Used motor vehicles between 4 and 10 years old add 0.75% to the applicable standard rate. Electric vehicles instead reduce the applicable rate by 1%. Standard rates apply to Hire Purchase, Commercial Loan and Finance Lease for monthly repayment structures.</t>
  </si>
  <si>
    <t xml:space="preserve">westpac_standard_rates</t>
  </si>
  <si>
    <t xml:space="preserve">Private sales are available for Category A assets only (passenger cars and light commercial vehicles under 4.5T GVM). They are not available for Category B (heavy equipment) or Category C (agriculture).</t>
  </si>
  <si>
    <t xml:space="preserve">westpac_exclusions</t>
  </si>
  <si>
    <t xml:space="preserve">Heavy equipment (trucks &gt;4.5T, excavators, etc., up to 5 years old, licensed dealer) is 8.17% p.a. for a 24/36/48-month term and 8.37% for 60 months.</t>
  </si>
  <si>
    <t xml:space="preserve">Category B assets are generally accepted up to 5 years old (dealer only), but mobile/tight access cranes are limited to up to 3 years old.</t>
  </si>
  <si>
    <t xml:space="preserve">Under Replacement only, Category C includes government/school/local route buses (excludes charter), up to 5 years old, with loan terms up to 10 years (dealer only).</t>
  </si>
  <si>
    <t xml:space="preserve">New plant and equipment financed at $50,000-$150,000 is 8.52% p.a. for a 24-36 month term (8.62% at 48 months, 8.82% at 60 months). This excludes computers, fixtures and fittings.</t>
  </si>
  <si>
    <t xml:space="preserve">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</si>
  <si>
    <t xml:space="preserve">westpac_channels_overview</t>
  </si>
  <si>
    <t xml:space="preserve">Westpac WEF operates four specialist channels: DriveXpress, Rollover, Replacement, and Medical.</t>
  </si>
  <si>
    <t xml:space="preserve">The maximum DriveXpress exposure for an existing client is $750k (aggregate of loan balances under the DriveXpress policy).</t>
  </si>
  <si>
    <t xml:space="preserve">Effective 24 February 2025, where the CoC confirms the policy is a 'fleet policy', the specific asset VIN/serial number no longer needs to be included on the CoC. This applies to motor vehicles only, for assets above $150k.</t>
  </si>
  <si>
    <t xml:space="preserve">Brokerage on Xpress deals is limited to a maximum of 3%.</t>
  </si>
  <si>
    <t xml:space="preserve">For a medical specialist/GP/dental/vet, the new medical equipment limit is under $350,000. For an allied health practitioner it is under $150,000.</t>
  </si>
  <si>
    <t xml:space="preserve">A tractor falls under Category C (agricultural equipment), accepted up to 7 years old from dealers only.</t>
  </si>
  <si>
    <t xml:space="preserve">No. New-to-bank clients are not eligible for the Rollover channel — it is for existing clients with WEF history only.</t>
  </si>
  <si>
    <t xml:space="preserve">No. The standard Hire Purchase / Commercial Loan / Finance Lease rates explicitly exclude Xpress deals, which are priced from the separate Xpress rate card.</t>
  </si>
  <si>
    <t xml:space="preserve">No. Novated leases are an excluded loan structure across all Westpac channels.</t>
  </si>
  <si>
    <t xml:space="preserve">Yes. A physiotherapist is an eligible allied health practitioner under Westpac's Medical channel, with limits of under $150k for motor vehicles and equipment and a cumulative cap under $250k.</t>
  </si>
  <si>
    <t xml:space="preserve">CFAL requires an ABN registered for at least 2 years and currently GST registered. CFAL finances commercial equipment only — there are no consumer (personal use) products.</t>
  </si>
  <si>
    <t xml:space="preserve">cfal_eligibility</t>
  </si>
  <si>
    <t xml:space="preserve">No, CFAL has no Low Doc option — documentation scales with transaction size. All financial statements (P&amp;L and balance sheet) must be no more than 18 months old, and are required for all related companies and trusts (consolidated preferred).</t>
  </si>
  <si>
    <t xml:space="preserve">cfal_documentation_matrix</t>
  </si>
  <si>
    <t xml:space="preserve">A new-to-business-bank customer can borrow up to $150k under CFAL's DriveXpress (Categories A, B &amp; C) with property ownership and $75k p.a. income, up to a $250k DriveXpress exposure. CFAL's DriveXpress is the shared Westpac Group fast-track channel.</t>
  </si>
  <si>
    <t xml:space="preserve">cfal_drivexpress_policy</t>
  </si>
  <si>
    <t xml:space="preserve">The maximum cumulative approvals for an allied health practitioner is under $250,000 (versus under $500,000 for a medical specialist/GP/dental/vet). Pharmacists are excluded.</t>
  </si>
  <si>
    <t xml:space="preserve">cfal_medical_policy</t>
  </si>
  <si>
    <t xml:space="preserve">When the original funder is another financier (inspection required), the CFAL Rollover maximum is $250k for Category A &amp; B goods. When the original funder is Westpac/CFAL, the maximum is $500k for all categories. New-to-bank clients are not eligible.</t>
  </si>
  <si>
    <t xml:space="preserve">cfal_rollover_policy</t>
  </si>
  <si>
    <t xml:space="preserve">For an existing client (12 months current WEF history or a finalised EF contract within the last 12 months), the CFAL Replacement maximum is $200k for Category A and $650k for Category B &amp; C.</t>
  </si>
  <si>
    <t xml:space="preserve">cfal_replacement_policy</t>
  </si>
  <si>
    <t xml:space="preserve">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</si>
  <si>
    <t xml:space="preserve">cfal_settlement</t>
  </si>
  <si>
    <t xml:space="preserve">No. CFAL private sales are for motor vehicles and light commercial vehicles under 4.5T GVM only. Private sales are not available for heavy equipment (Category B) or agriculture (Category C).</t>
  </si>
  <si>
    <t xml:space="preserve">cfal_exclusions</t>
  </si>
  <si>
    <t xml:space="preserve">Under CFAL Replacement only, government/school/local route buses (excludes charter) up to 5 years old qualify for a loan term of up to 10 years (dealer only).</t>
  </si>
  <si>
    <t xml:space="preserve">Yes. All company directors must guarantee the loan, and satisfactory credit bureau reports and ASIC searches are required for all guarantors. All individuals must also provide a signed Privacy Form and current Asset &amp; Liability Statements.</t>
  </si>
  <si>
    <t xml:space="preserve">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</si>
  <si>
    <t xml:space="preserve">For an existing client, CFAL DriveXpress limits are $200k for Category A, $300k for Category B, and $500k for Category C, with a maximum DriveXpress exposure of $750k.</t>
  </si>
  <si>
    <t xml:space="preserve">For an existing customer, monthly repayments must be within 150% of the payment being replaced (125% for new-to-bank customers).</t>
  </si>
  <si>
    <t xml:space="preserve">New clients must own residential property and have a minimum annual income of $75k p.a. The borrower/guarantor credit bureau must be satisfactory, the business over 2 years old and GST registered, with statutory obligations up to date. A signed Affordability Declaration is required.</t>
  </si>
  <si>
    <t xml:space="preserve">In areas classified as 'Remote' (per ABS 2021 Remoteness Area classification), non-asset-backed applications require a 20% deposit. Areas classified as 'Very Remote' are not available at all.</t>
  </si>
  <si>
    <t xml:space="preserve">CFAL requires statutory lodgements and payments (tax, GST, employee entitlements) to be up to date with no payment arrangements in place. Where financial data is not obtained, verbal confirmation of compliance is required.</t>
  </si>
  <si>
    <t xml:space="preserve">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</si>
  <si>
    <t xml:space="preserve">Category C agricultural equipment (tractors, headers, harvesters, etc.) is accepted up to 7 years old, dealer only.</t>
  </si>
  <si>
    <t xml:space="preserve">The asset must be insured with CFAL / Westpac noted as an interested party, and insurance details must be loaded in the system. For assets above $150k a Certificate of Currency is required noting the lender's interest.</t>
  </si>
  <si>
    <t xml:space="preserve">The contract being rolled must have been operating for more than 12 months. The borrower must also have 12 months current WEF history or a finalised WEF contract within the last 12 months, and the borrower/guarantor and security position must match the original contract.</t>
  </si>
  <si>
    <t xml:space="preserve">No. CFAL does not publish a public rate card; indicative pricing must be obtained from the CFAL Credit Manager.</t>
  </si>
  <si>
    <t xml:space="preserve">No. CFAL's DriveXpress is the fast-track channel shared with the Westpac Group — it mirrors Westpac's DriveXpress structure (Categories A/B/C and the same limits).</t>
  </si>
  <si>
    <t xml:space="preserve">No. Charter buses are excluded. Only government/school/local route buses are accepted, and only under the Replacement Category C provision.</t>
  </si>
  <si>
    <t xml:space="preserve">No. Pharmacists are explicitly excluded from CFAL's Medical channel.</t>
  </si>
  <si>
    <t xml:space="preserve">No. CFAL has no Low Doc option; documentation requirements scale up with transaction size, and full financial statements are required at every band.</t>
  </si>
  <si>
    <t xml:space="preserve">Angle's $400k Low Doc requires 3+ years ABN &amp; GST registered, a credit score of 600+ (Corporate &amp; Individual, Veda 1.1), a minimum 12-month Asset Finance Credit Reference from Angle or a Tier 1/Tier 2 provider, a max transaction size of $400k, property backing (spousal property accepted), asset types Primary &amp; Secondary, max EOT of Primary 25 years and Secondary 15 years, and ATO Portals for $250k+.</t>
  </si>
  <si>
    <t xml:space="preserve">angle_400k_low_doc</t>
  </si>
  <si>
    <t xml:space="preserve">The $400k Low Doc program excludes sole traders, tertiary assets, prime movers, and buses.</t>
  </si>
  <si>
    <t xml:space="preserve">Angle's Start-Up product allows loans to a maximum of $150,000 (including brokerage), with a 20% deposit required on all applications. The business must be operating a minimum of 3 months and actively trading, with previous industry experience required.</t>
  </si>
  <si>
    <t xml:space="preserve">angle_start_up</t>
  </si>
  <si>
    <t xml:space="preserve">Prime Movers is restricted to Company &amp; Trust only — no sole traders or individual partnerships. Low Doc is not an option for prime movers, because bank statements or financials plus ATO portals are required; they can be done under Mid Doc or Full Doc only.</t>
  </si>
  <si>
    <t xml:space="preserve">angle_prime_movers</t>
  </si>
  <si>
    <t xml:space="preserve">Yes — spousal property is accepted as asset backed, supported by a marriage certificate, Medicare card or joint utility bill. Non-property owners require a 20% deposit.</t>
  </si>
  <si>
    <t xml:space="preserve">angle_property_and_deposits</t>
  </si>
  <si>
    <t xml:space="preserve">Angle's establishment fee (dealer or private sale) is $649, financed into the loan or direct debit at settlement. The account keeping fee is $4.95 monthly or $1 weekly. Maximum brokerage is up to 8% (incl GST), and there is no rate loading for commission up to 8%. An origination fee of up to $1,400 (incl GST) may be capitalised within the loan.</t>
  </si>
  <si>
    <t xml:space="preserve">angle_fees_brokerage</t>
  </si>
  <si>
    <t xml:space="preserve">At Angle, credit score determines total exposure: a score of 500 allows under $150,000; 550 allows under $250,000; and 650 allows over $250,000. Large ticket deals over $500,000+ have credit score flexibility — scores under 650 can be considered with financial assessment.</t>
  </si>
  <si>
    <t xml:space="preserve">angle_loan_structure</t>
  </si>
  <si>
    <t xml:space="preserve">No. Taxi &amp; Uber drivers are on Angle's not-accepted applicants list. Angle also declines applicants with credit scores below 500, financial defaults on credit files (except telco or utilities paid up to $2,500), and credit files under 12 months old.</t>
  </si>
  <si>
    <t xml:space="preserve">angle_exclusions</t>
  </si>
  <si>
    <t xml:space="preserve">Angle requires a Certificate of Currency for assets over $100k. Private sales require inspection via Verimoto, Redbook, Olasio or a broker inspection, and must have current and active registration. Angle conducts a satisfactory PPSR, and all existing PPSR encumbrances on used cars must be removed prior to settlement.</t>
  </si>
  <si>
    <t xml:space="preserve">angle_settlement</t>
  </si>
  <si>
    <t xml:space="preserve">The maximum balloon on a 60-month Angle loan is 30% (it is 40% at both 36 and 48 months). Assets at EOT 25 years (primary) and EOT 15 years (secondary) are 0% balloon only.</t>
  </si>
  <si>
    <t xml:space="preserve">Angle's Mid Doc (under $500k) requires a credit score of 650+ (Individual &amp; Corporate, Veda 1:1). It requires 6 months bank statements showing no dishonoured payments for financial obligations, a maximum of 1 non-financial dishonour, average monthly revenue of $20,000 across the 6-month period, and an average running balance of at least 10% of monthly revenue. ATO Portals are required for $250k+.</t>
  </si>
  <si>
    <t xml:space="preserve">angle_doc_types</t>
  </si>
  <si>
    <t xml:space="preserve">For a customer with 8+ year ABN and 4+ year GST buying primary assets (new assets, YOM 2023) with a strong credit score, the rate is 7.79% property backed and 8.79% non-property backed.</t>
  </si>
  <si>
    <t xml:space="preserve">angle_interest_rates</t>
  </si>
  <si>
    <t xml:space="preserve">Prime Movers requires a minimum 5 years ABN &amp; GST (business continuity), a strong credit score of 600+, property backing (spousal accepted), and a comparable asset finance credit reference. A 1% rate loading applies to standard primary asset rates. Maximum asset age is up to EOT 20 years.</t>
  </si>
  <si>
    <t xml:space="preserve">Start-Up requires a minimum of 6 months bank statements, unless the ABN has been trading for less than 6 months. The statements must demonstrate serviceability, show clean conduct with no overdraws, dishonours, debt collection payments, superannuation withdrawals or ATO payment arrangements, and support an average bank balance over the last 3 months of at least 10%–20% of the loan amount.</t>
  </si>
  <si>
    <t xml:space="preserve">For transactions over $1 million, Angle's Full Doc requires FY2024 + FY2023 accountant-prepared financials only, a Commitment Schedule, current ATO portal statements (last 12 months good payment history), a detailed business background plus list of major clients, an Aged Debtor + Creditor listing, and cashflow projections (if available).</t>
  </si>
  <si>
    <t xml:space="preserve">Angle offers up to 84 months on a primary motor vehicle (36–84 months). A 1% rate loading is applicable for terms over 60 months, and the customer must be property backed to qualify.</t>
  </si>
  <si>
    <t xml:space="preserve">Angle's Prime Movers start from 9.39% per the rate card (the prime movers flyer cites 8.99%). A 1% rate loading applies to standard primary asset rates.</t>
  </si>
  <si>
    <t xml:space="preserve">Under Low Doc, motor vehicles are capped at $100k for exposures under $100k, and $200k for exposures of $100k–$250k. The motor vehicle maximum asset price is $250k. Mid Doc allows motor vehicles up to $250k.</t>
  </si>
  <si>
    <t xml:space="preserve">Angle requires a rates notice for proof of property ownership, dated within the last 3 months or provided alongside a recent utility bill. Spousal property requires a marriage certificate, Medicare card or joint utility bill as evidence of relationship.</t>
  </si>
  <si>
    <t xml:space="preserve">No. Financial defaults on credit files — whether paid or unpaid — are not accepted, with the only exception being telco or utility defaults paid up to $2,500.</t>
  </si>
  <si>
    <t xml:space="preserve">Yes. Angle's Start-Up product is designed for new business owners with an ABN under 2 years, provided the business has been operating a minimum of 3 months and actively trading, with a 20% deposit and 550+ credit score.</t>
  </si>
  <si>
    <t xml:space="preserve">No. Angle's Prime Movers product is Company &amp; Trust only — sole traders and individual partnerships are explicitly excluded.</t>
  </si>
  <si>
    <t xml:space="preserve">No. Mortgage statements must be in the applicant's name — spouse's mortgage statements are not accepted. The loan must have been running 6+ months with no missed repayments.</t>
  </si>
  <si>
    <t xml:space="preserve">No. Angle applies no rate loading for commission up to 8%. Private sales, business continuity and property in a spouse's name also attract no rate loading.</t>
  </si>
  <si>
    <t xml:space="preserve">No. Angle explicitly applies no rate loading for private sales. The prime movers product also confirms there is no rate loading for private sales.</t>
  </si>
  <si>
    <t xml:space="preserve">Metro's 8.35% prime rate applies to passenger and commercial vehicles under 12t GVM, up to 5 years old, financed above $20k on a dealer sale, over a 24–60 month term. Amounts between $10k and $20k are priced at 9.15%.</t>
  </si>
  <si>
    <t xml:space="preserve">metro_interest_rates</t>
  </si>
  <si>
    <t xml:space="preserve">Metro adds 0.75% for assets older than 5 years at the beginning of term, 1.50% for assets older than 10 years at end of term, 0.25% for private sale, 0.75% for sale/hire backs, 2% to the wheeled equipment rate for other equipment, and 1% on the vehicle streamlined non-property product.</t>
  </si>
  <si>
    <t xml:space="preserve">For non-property backed applicants (motor vehicles only), Metro caps the loan at $100,000, permits dealer sale only, and requires a 30% deposit. Maximum Metro exposure for this category is $100,000.</t>
  </si>
  <si>
    <t xml:space="preserve">metro_passenger_vehicle_streamlined</t>
  </si>
  <si>
    <t xml:space="preserve">A customer with 24 months of good repayment history with Metro can reach a maximum Metro exposure of $750,000 (including existing Metro exposure). New Metro customers are capped at $250,000, and customers with 12 months good repayment history at $500,000.</t>
  </si>
  <si>
    <t xml:space="preserve">No. Metro's Trucks, Trailers &amp; Wheeled Equipment streamlined product covers medium and heavy commercial vehicles above 3.5t GVM but explicitly excludes prime movers.</t>
  </si>
  <si>
    <t xml:space="preserve">metro_trucks_trailers_streamlined</t>
  </si>
  <si>
    <t xml:space="preserve">Metro's Agri streamlined product requires the business to be GST registered for more than 5 years, to be a genuine primary producer, and to have a minimum farm size of 40 hectares. Maximum term is 60 months.</t>
  </si>
  <si>
    <t xml:space="preserve">metro_agri_streamlined</t>
  </si>
  <si>
    <t xml:space="preserve">No. The Other Equipment streamlined product must be from a recognised supplier — no private sale or sale/hire back is permitted. The asset must be no older than 3 years and serial numbered, with a maximum loan of $100,000.</t>
  </si>
  <si>
    <t xml:space="preserve">metro_other_equipment_streamlined</t>
  </si>
  <si>
    <t xml:space="preserve">Contracts being replaced must have run for a minimum of 36 months. The new loan amount must not exceed 125% of the original loan amount of the contract being replaced, or the proposed monthly repayment must not exceed 125% of the monthly repayment being replaced.</t>
  </si>
  <si>
    <t xml:space="preserve">metro_replacement_policy</t>
  </si>
  <si>
    <t xml:space="preserve">MetroEco electric trucks receive a 1% MetroEco rate discount. They must be brand new assets only, dealer sale, battery electric trucks 3.5t GVM and above, property owners only, up to $250,000 for new customers or $300,000 with 12 months good repayment history. Maximum transaction size is $600,000 with full financials, and maximum electric truck exposure is $700,000. Biofuel and hybrid are excluded.</t>
  </si>
  <si>
    <t xml:space="preserve">metro_eco</t>
  </si>
  <si>
    <t xml:space="preserve">Metro caps streamlined lending at a maximum of $500,000 in a 12 month period. Sale/hire back is not permitted under streamlined products, and satisfactory Equifax is required on applicants and guarantors.</t>
  </si>
  <si>
    <t xml:space="preserve">metro_exclusions</t>
  </si>
  <si>
    <t xml:space="preserve">A new Metro customer can borrow up to $250,000 (dealer and private sale) for trucks and trailers, rising to $300,000 with 12 months good repayment history with Metro. The maximum transaction size for private sales is $250,000.</t>
  </si>
  <si>
    <t xml:space="preserve">Under the Passenger Vehicle streamlined product (&lt;3.5t GVM), the asset must be no older than 12 years at end of term. Trucks, trailers and wheeled equipment allow up to 15 years at end of term.</t>
  </si>
  <si>
    <t xml:space="preserve">Metro's Replacement Policy allows $300,000 for medium &amp; heavy commercial (excludes prime movers), trailers and wheeled equipment on dealer sales; $150,000 for passenger vehicles and light commercial; and a maximum transaction size of $250,000 for private sales.</t>
  </si>
  <si>
    <t xml:space="preserve">A commercial MetroEco electric vehicle has a 60-month loan term with a maximum EOT of 5 years, for up to $91,387.00 on vehicles, new or demo, from a dealer. Consumers get 84 months (max EOT 7 years) and novated is 60 months.</t>
  </si>
  <si>
    <t xml:space="preserve">Implements / Tertiary Equipment are capped at $150,000 maximum (dealer/private sale) with a $10,000 minimum, for both new and existing Metro customers. Primary agricultural equipment allows $250,000, rising to $300,000 with 12 months good repayment history.</t>
  </si>
  <si>
    <t xml:space="preserve">Metro's advertised rates apply for brokerage up to 4%. Above 4.0%, add 0.5% to the base rate for every 1% of brokerage.</t>
  </si>
  <si>
    <t xml:space="preserve">Metro charges a minimum fee of $275 and a maximum of $450, excluding split 50/50.</t>
  </si>
  <si>
    <t xml:space="preserve">The account being replaced must be in its final 12 months. The product covers motor vehicles and wheeled equipment only, and prime movers are included. No inspection is required.</t>
  </si>
  <si>
    <t xml:space="preserve">metro_balloon_refinance</t>
  </si>
  <si>
    <t xml:space="preserve">No. Dairy equipment and irrigation equipment are both on Metro's Agri non-eligible list, along with sheds, silos, yards, testing and measurement equipment, bikes &amp; ATVs, and forestry industry assets.</t>
  </si>
  <si>
    <t xml:space="preserve">Metro requires the business to be GST registered 2 years continuously for the passenger vehicle streamlined product.</t>
  </si>
  <si>
    <t xml:space="preserve">No. Sale/hire back is not permitted under Metro's streamlined products. A 0.75% sale/hire back loading appears on the rate sheet for non-streamlined deals.</t>
  </si>
  <si>
    <t xml:space="preserve">No. IT, AV, telephony and printing equipment are explicitly non-eligible under Metro's Other Equipment streamlined product, along with fixtures &amp; fittings, retail/health/beauty/fitness, mining, and intangible assets.</t>
  </si>
  <si>
    <t xml:space="preserve">No. MetroEco electric trucks explicitly exclude biofuel powered or hybrid vehicles. MetroEco electric vehicle eligibility requires the vehicle be solely powered by electricity and use an external electrical plug to charge the battery.</t>
  </si>
  <si>
    <t xml:space="preserve">Yes, but with restrictions: taxi / Uber / ride share applications have a maximum customer exposure of $250,000 and must be property backed.</t>
  </si>
  <si>
    <t xml:space="preserve">Metro's rate sheet states single assets up to $1m and customer exposure up to $2m.</t>
  </si>
  <si>
    <t xml:space="preserve">flexipremium prices primary assets at 7.30% for amounts funded between $100,001 and $500,000 (also 7.30% for $50,000–$100,000). Secondary assets in that band are 8.19%. Amounts of $500,001+ require contacting a flexicommercial BDM.</t>
  </si>
  <si>
    <t xml:space="preserve">flexi_flexipremium</t>
  </si>
  <si>
    <t xml:space="preserve">flexipremium requires asset-backed applicants to have ABN and GST registration for a minimum of 4 years, and non-asset-backed applicants a minimum of 8 years. Eligible business structures are Companies, Trusts and Partnerships — sole traders are excluded.</t>
  </si>
  <si>
    <t xml:space="preserve">For primary assets of $150,001+, flexicommercial's standard base rate is 8.10% (ex brokerage). Secondary is 8.35% and tertiary is 11.35% in the same band.</t>
  </si>
  <si>
    <t xml:space="preserve">flexi_standard_rates</t>
  </si>
  <si>
    <t xml:space="preserve">flexicommercial adds 1.0% for prime movers (excluding tippers, agitators, rigid bodies), assets 11–15 years old at end of term, terms under 24 months, and private sales and refinances. It adds 1.25% for non-asset-backed customers and terms over 60 months. It adds 2.0% for assets over 15 to 20 years old at end of term.</t>
  </si>
  <si>
    <t xml:space="preserve">flexicommercial's Credit Matrix allows Primary Assets up to $750K (individual transactions up to $500K), Secondary Assets up to $500K (individual transactions up to $300K), and Tertiary Assets up to $300K (individual transactions up to $300K).</t>
  </si>
  <si>
    <t xml:space="preserve">flexi_credit_matrix</t>
  </si>
  <si>
    <t xml:space="preserve">No. flexicommercial explicitly does not fund SUVs or passenger cars, including rental car businesses. It also does not fund photocopiers, MFDs or scaffolding.</t>
  </si>
  <si>
    <t xml:space="preserve">flexi_asset_categories</t>
  </si>
  <si>
    <t xml:space="preserve">Primary assets must not exceed 20 years at end of term, with trailers permitted up to 30 years. Secondary assets can be up to 7 years old at end of term.</t>
  </si>
  <si>
    <t xml:space="preserve">flexireplacement allows a maximum transaction size / aggregated exposure of $500K (including existing matrix exposure). The proposed repayment must not exceed 125% of that being replaced. It covers primary assets only, with dealer or private sales acceptable.</t>
  </si>
  <si>
    <t xml:space="preserve">flexi_replacement_policy</t>
  </si>
  <si>
    <t xml:space="preserve">The facility to be replaced must be with an approved lender, and either current or paid in full within the last three months, after having been established for 18 months or more. Borrowing and guarantee parties on the old and new facility must be identical, and settlement of the new facility must occur within 90 days of the expiry of the old facility.</t>
  </si>
  <si>
    <t xml:space="preserve">flexicommercial charges an establishment fee of $495 on all products, rising to $745 for private sales and refinances. The minimum deal size is $10,000.</t>
  </si>
  <si>
    <t xml:space="preserve">flexi_fees</t>
  </si>
  <si>
    <t xml:space="preserve">For deals of $50,000 or more, maximum brokerage is 6%, and 0.5% is added to the base rate for every 1% of brokerage charged above 4% (up to 6%). Deals under $50,000 allow up to 8% brokerage, with the escalation starting above 5%.</t>
  </si>
  <si>
    <t xml:space="preserve">Under flexipremium, primary assets can be up to 5 years old (Contract Road Transport/Logistics businesses operating 5 or more trucks can be considered), and secondary assets up to 2 years old. Both new and used assets are eligible.</t>
  </si>
  <si>
    <t xml:space="preserve">Primary Assets Only: after 18 payments have been made on either the flexicommercial contract or an asset finance contract with an approved lender (minimum contract amount $250K, with a statement showing perfect conduct), applications can be considered to take combined exposure to a maximum of $750K, with individual transactions to a maximum of $500K.</t>
  </si>
  <si>
    <t xml:space="preserve">Brokerage on a mid-term refinance is limited to 1.0%. The customer must be at least 12 months into the term of the current contract, and the deal is refinanced at net book value with no early termination costs. Terms of up to 5 years are considered.</t>
  </si>
  <si>
    <t xml:space="preserve">flexi_refinance_products</t>
  </si>
  <si>
    <t xml:space="preserve">A Low Start Loan lets the business start their term paying 50% repayments for the first 3 months, then catch that up gradually over time. Conditions: the customer must qualify for flexipremium, have no cashflow lenders on file (e.g. Prospa, Moula), and must have an existing commercial asset finance facility with an approved lender.</t>
  </si>
  <si>
    <t xml:space="preserve">The Credit Matrix requires ABN greater than 2 years and GST registered greater than 2 years, with asset backing (sufficient equity) or a 20% deposit assessed on the proposed aggregate exposure, not just the new transaction.</t>
  </si>
  <si>
    <t xml:space="preserve">All IT assets are tertiary assets with a maximum exposure of $50K; full doc is acceptable for amounts over $50K. The same $50K cap applies to renewable energy and temporary fencing.</t>
  </si>
  <si>
    <t xml:space="preserve">The maximum term is 7 years on primary assets up to 3 years old; for all other assets the maximum term is 5 years. Terms over 60 months attract a 1.25% add-on.</t>
  </si>
  <si>
    <t xml:space="preserve">Sole traders are covered by the standard Credit Matrix (which applies to Companies, Trusts, Partnerships and Sole Traders), but they are excluded from flexipremium, which is limited to Companies, Trusts and Partnerships.</t>
  </si>
  <si>
    <t xml:space="preserve">flexi_exclusions</t>
  </si>
  <si>
    <t xml:space="preserve">Yes. flexireplacement can be used for balloon refinances up to $500K, with an inspection and valuation required if the amount exceeds $300K.</t>
  </si>
  <si>
    <t xml:space="preserve">No. flexicommercial explicitly does not fund SUVs or passenger cars, and this includes rental car businesses.</t>
  </si>
  <si>
    <t xml:space="preserve">Maximum brokerage on flexipremium deals is 3%.</t>
  </si>
  <si>
    <t xml:space="preserve">Yes. Asset backing is a requirement for all transport operator/subcontractor transactions — borrowers and guarantors must be asset backed with sufficient equity.</t>
  </si>
  <si>
    <t xml:space="preserve">flexicommercial's minimum deal size is $10,000.</t>
  </si>
  <si>
    <t xml:space="preserve">Medical / dental / laboratory equipment is classified as a secondary asset at flexicommercial. Secondary assets can be up to 7 years old at end of term.</t>
  </si>
  <si>
    <t xml:space="preserve">Accuracy Report — auto-calculated</t>
  </si>
  <si>
    <t xml:space="preserve">HEADLINE METRICS</t>
  </si>
  <si>
    <t xml:space="preserve">Value</t>
  </si>
  <si>
    <t xml:space="preserve">Notes</t>
  </si>
  <si>
    <t xml:space="preserve">Questions scored</t>
  </si>
  <si>
    <t xml:space="preserve">Rows with a score entered</t>
  </si>
  <si>
    <t xml:space="preserve">Average score (out of 4)</t>
  </si>
  <si>
    <t xml:space="preserve">Primary answer-quality metric</t>
  </si>
  <si>
    <t xml:space="preserve">Accuracy %</t>
  </si>
  <si>
    <t xml:space="preserve">Average score as a percentage of 4</t>
  </si>
  <si>
    <t xml:space="preserve">Retrieval hit rate</t>
  </si>
  <si>
    <t xml:space="preserve">Did we fetch the expected chunk?</t>
  </si>
  <si>
    <t xml:space="preserve">Answers scored 4/4</t>
  </si>
  <si>
    <t xml:space="preserve">Fully correct</t>
  </si>
  <si>
    <t xml:space="preserve">Answers scored 1/4</t>
  </si>
  <si>
    <t xml:space="preserve">Completely wrong — investigate these first</t>
  </si>
  <si>
    <t xml:space="preserve">Hallucination rate</t>
  </si>
  <si>
    <t xml:space="preserve">Share of completely-wrong answers</t>
  </si>
  <si>
    <t xml:space="preserve">Avg response time (s)</t>
  </si>
  <si>
    <t xml:space="preserve">From ModelAnswers</t>
  </si>
  <si>
    <t xml:space="preserve">Total tokens</t>
  </si>
  <si>
    <t xml:space="preserve">Total est. cost (USD)</t>
  </si>
  <si>
    <t xml:space="preserve">SCORE DISTRIBUTION</t>
  </si>
  <si>
    <t xml:space="preserve">Count</t>
  </si>
  <si>
    <t xml:space="preserve">Share</t>
  </si>
  <si>
    <t xml:space="preserve">4 — Completely right</t>
  </si>
  <si>
    <t xml:space="preserve">3 — Minor mistakes</t>
  </si>
  <si>
    <t xml:space="preserve">2 — Generally wrong</t>
  </si>
  <si>
    <t xml:space="preserve">1 — Completely wrong</t>
  </si>
  <si>
    <t xml:space="preserve">BY LENDER</t>
  </si>
  <si>
    <t xml:space="preserve">Questions</t>
  </si>
  <si>
    <t xml:space="preserve">Avg Score</t>
  </si>
  <si>
    <t xml:space="preserve">Retrieval Hit Rate</t>
  </si>
  <si>
    <t xml:space="preserve">BY CATEGORY</t>
  </si>
  <si>
    <t xml:space="preserve">Config ID</t>
  </si>
  <si>
    <t xml:space="preserve">Variable Tested</t>
  </si>
  <si>
    <t xml:space="preserve">Setting</t>
  </si>
  <si>
    <t xml:space="preserve">Avg Score (/4)</t>
  </si>
  <si>
    <t xml:space="preserve">Hallucination Rate</t>
  </si>
  <si>
    <t xml:space="preserve">Avg Response Time (s)</t>
  </si>
  <si>
    <t xml:space="preserve">Total Tokens</t>
  </si>
  <si>
    <t xml:space="preserve">Verdict / Notes</t>
  </si>
  <si>
    <t xml:space="preserve">C1</t>
  </si>
  <si>
    <t xml:space="preserve">Top-K Retrieval</t>
  </si>
  <si>
    <t xml:space="preserve">Top-K = 3</t>
  </si>
  <si>
    <t xml:space="preserve">C2</t>
  </si>
  <si>
    <t xml:space="preserve">Top-K = 5</t>
  </si>
  <si>
    <t xml:space="preserve">C3</t>
  </si>
  <si>
    <t xml:space="preserve">Top-K = 10</t>
  </si>
  <si>
    <t xml:space="preserve">C4</t>
  </si>
  <si>
    <t xml:space="preserve">Prompt Template</t>
  </si>
  <si>
    <t xml:space="preserve">Baseline prompt</t>
  </si>
  <si>
    <t xml:space="preserve">C5</t>
  </si>
  <si>
    <t xml:space="preserve">Prompt v2 (strict citation)</t>
  </si>
  <si>
    <t xml:space="preserve">C6</t>
  </si>
  <si>
    <t xml:space="preserve">Prompt v3 (refuse if unsure)</t>
  </si>
  <si>
    <t xml:space="preserve">C7</t>
  </si>
  <si>
    <t xml:space="preserve">Metadata Filtering</t>
  </si>
  <si>
    <t xml:space="preserve">Filtering ON</t>
  </si>
  <si>
    <t xml:space="preserve">C8</t>
  </si>
  <si>
    <t xml:space="preserve">Filtering OFF (control)</t>
  </si>
  <si>
    <t xml:space="preserve">C9</t>
  </si>
  <si>
    <t xml:space="preserve">Chunk Size</t>
  </si>
  <si>
    <t xml:space="preserve">Default chunks</t>
  </si>
  <si>
    <t xml:space="preserve">C10</t>
  </si>
  <si>
    <t xml:space="preserve">Smaller chunks</t>
  </si>
  <si>
    <t xml:space="preserve">How to use: run the 100-question benchmark once per config. Copy the headline numbers from 'AccuracyReport' into the row for that config. The best average score highlights green automatically.</t>
  </si>
  <si>
    <t xml:space="preserve">Score</t>
  </si>
  <si>
    <t xml:space="preserve">Failure Type</t>
  </si>
  <si>
    <t xml:space="preserve">What went wrong</t>
  </si>
  <si>
    <t xml:space="preserve">Root cause</t>
  </si>
  <si>
    <t xml:space="preserve">Fix / owner</t>
  </si>
  <si>
    <t xml:space="preserve">Status</t>
  </si>
  <si>
    <t xml:space="preserve">(example) CFA-07</t>
  </si>
  <si>
    <t xml:space="preserve">Cross-lender contamination</t>
  </si>
  <si>
    <t xml:space="preserve">Answered with a Westpac DriveXpress limit</t>
  </si>
  <si>
    <t xml:space="preserve">Shared 'DriveXpress' keyword routed to WESTPAC</t>
  </si>
  <si>
    <t xml:space="preserve">Add lender keyword weighting — Sameep</t>
  </si>
  <si>
    <t xml:space="preserve">Open</t>
  </si>
</sst>
</file>

<file path=xl/styles.xml><?xml version="1.0" encoding="utf-8"?>
<styleSheet xmlns="http://schemas.openxmlformats.org/spreadsheetml/2006/main">
  <numFmts count="8">
    <numFmt numFmtId="164" formatCode="General"/>
    <numFmt numFmtId="165" formatCode="0.00"/>
    <numFmt numFmtId="166" formatCode="#,##0"/>
    <numFmt numFmtId="167" formatCode="\$0.0000"/>
    <numFmt numFmtId="168" formatCode="General"/>
    <numFmt numFmtId="169" formatCode="yyyy\-mm\-dd"/>
    <numFmt numFmtId="170" formatCode="0.0%"/>
    <numFmt numFmtId="171" formatCode="\$0.00"/>
  </numFmts>
  <fonts count="13">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6B7B7A"/>
      <name val="Arial"/>
      <family val="0"/>
      <charset val="1"/>
    </font>
    <font>
      <b val="true"/>
      <sz val="10"/>
      <name val="Arial"/>
      <family val="0"/>
      <charset val="1"/>
    </font>
    <font>
      <sz val="10"/>
      <name val="Arial"/>
      <family val="0"/>
      <charset val="1"/>
    </font>
    <font>
      <b val="true"/>
      <sz val="10"/>
      <color rgb="FFFFFFFF"/>
      <name val="Arial"/>
      <family val="0"/>
      <charset val="1"/>
    </font>
    <font>
      <sz val="9"/>
      <name val="Consolas"/>
      <family val="0"/>
      <charset val="1"/>
    </font>
    <font>
      <b val="true"/>
      <sz val="11"/>
      <name val="Arial"/>
      <family val="0"/>
      <charset val="1"/>
    </font>
    <font>
      <b val="true"/>
      <sz val="14"/>
      <color rgb="FF1F3864"/>
      <name val="Arial"/>
      <family val="0"/>
      <charset val="1"/>
    </font>
    <font>
      <i val="true"/>
      <sz val="9"/>
      <color rgb="FF6B7B7A"/>
      <name val="Arial"/>
      <family val="0"/>
      <charset val="1"/>
    </font>
  </fonts>
  <fills count="16">
    <fill>
      <patternFill patternType="none"/>
    </fill>
    <fill>
      <patternFill patternType="gray125"/>
    </fill>
    <fill>
      <patternFill patternType="solid">
        <fgColor rgb="FFFFF9E6"/>
        <bgColor rgb="FFFFF2E8"/>
      </patternFill>
    </fill>
    <fill>
      <patternFill patternType="solid">
        <fgColor rgb="FFEAF1F6"/>
        <bgColor rgb="FFE8EEF7"/>
      </patternFill>
    </fill>
    <fill>
      <patternFill patternType="solid">
        <fgColor rgb="FFC6EFCE"/>
        <bgColor rgb="FFD9D9D9"/>
      </patternFill>
    </fill>
    <fill>
      <patternFill patternType="solid">
        <fgColor rgb="FFFFEB9C"/>
        <bgColor rgb="FFFFD8A8"/>
      </patternFill>
    </fill>
    <fill>
      <patternFill patternType="solid">
        <fgColor rgb="FFFFD8A8"/>
        <bgColor rgb="FFFFEB9C"/>
      </patternFill>
    </fill>
    <fill>
      <patternFill patternType="solid">
        <fgColor rgb="FFFFC7CE"/>
        <bgColor rgb="FFFFD8A8"/>
      </patternFill>
    </fill>
    <fill>
      <patternFill patternType="solid">
        <fgColor rgb="FF1F3864"/>
        <bgColor rgb="FF333333"/>
      </patternFill>
    </fill>
    <fill>
      <patternFill patternType="solid">
        <fgColor rgb="FFE8EEF7"/>
        <bgColor rgb="FFEAF1F6"/>
      </patternFill>
    </fill>
    <fill>
      <patternFill patternType="solid">
        <fgColor rgb="FFEAF3EA"/>
        <bgColor rgb="FFEAF1F6"/>
      </patternFill>
    </fill>
    <fill>
      <patternFill patternType="solid">
        <fgColor rgb="FFFBEAEC"/>
        <bgColor rgb="FFF2EAF6"/>
      </patternFill>
    </fill>
    <fill>
      <patternFill patternType="solid">
        <fgColor rgb="FFF3EEF8"/>
        <bgColor rgb="FFF2EAF6"/>
      </patternFill>
    </fill>
    <fill>
      <patternFill patternType="solid">
        <fgColor rgb="FFFFF2E8"/>
        <bgColor rgb="FFFFF9E6"/>
      </patternFill>
    </fill>
    <fill>
      <patternFill patternType="solid">
        <fgColor rgb="FFE8F4FA"/>
        <bgColor rgb="FFEAF1F6"/>
      </patternFill>
    </fill>
    <fill>
      <patternFill patternType="solid">
        <fgColor rgb="FFF2EAF6"/>
        <bgColor rgb="FFF3EE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center"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9" fontId="7"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8" fontId="7" fillId="3"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70" fontId="7" fillId="3" borderId="0" xfId="0" applyFont="true" applyBorder="false" applyAlignment="true" applyProtection="false">
      <alignment horizontal="general" vertical="top" textRotation="0" wrapText="true" indent="0" shrinkToFit="false"/>
      <protection locked="true" hidden="false"/>
    </xf>
    <xf numFmtId="171" fontId="7" fillId="3" borderId="0" xfId="0" applyFont="true" applyBorder="fals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70" fontId="7" fillId="2" borderId="1" xfId="0" applyFont="true" applyBorder="true" applyAlignment="true" applyProtection="false">
      <alignment horizontal="center" vertical="center" textRotation="0" wrapText="false" indent="0" shrinkToFit="false"/>
      <protection locked="true" hidden="false"/>
    </xf>
    <xf numFmtId="166" fontId="7" fillId="2" borderId="1" xfId="0" applyFont="true" applyBorder="true" applyAlignment="true" applyProtection="false">
      <alignment horizontal="center" vertical="center" textRotation="0" wrapText="false" indent="0" shrinkToFit="false"/>
      <protection locked="true" hidden="false"/>
    </xf>
    <xf numFmtId="171" fontId="7" fillId="2"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EB9C"/>
        </patternFill>
      </fill>
    </dxf>
    <dxf>
      <fill>
        <patternFill>
          <bgColor rgb="FFFFD8A8"/>
        </patternFill>
      </fill>
    </dxf>
    <dxf>
      <fill>
        <patternFill>
          <bgColor rgb="FFFFC7CE"/>
        </patternFill>
      </fill>
    </dxf>
  </dxfs>
  <colors>
    <indexedColors>
      <rgbColor rgb="FF000000"/>
      <rgbColor rgb="FFFFFFFF"/>
      <rgbColor rgb="FFFF0000"/>
      <rgbColor rgb="FF00FF00"/>
      <rgbColor rgb="FF0000FF"/>
      <rgbColor rgb="FFFFF2E8"/>
      <rgbColor rgb="FFFF00FF"/>
      <rgbColor rgb="FF00FFFF"/>
      <rgbColor rgb="FF800000"/>
      <rgbColor rgb="FF008000"/>
      <rgbColor rgb="FF000080"/>
      <rgbColor rgb="FF808000"/>
      <rgbColor rgb="FF800080"/>
      <rgbColor rgb="FF008080"/>
      <rgbColor rgb="FFFFC7CE"/>
      <rgbColor rgb="FF6B7B7A"/>
      <rgbColor rgb="FFF3EEF8"/>
      <rgbColor rgb="FF993366"/>
      <rgbColor rgb="FFFFF9E6"/>
      <rgbColor rgb="FFE8F4FA"/>
      <rgbColor rgb="FF660066"/>
      <rgbColor rgb="FFFF8080"/>
      <rgbColor rgb="FF0066CC"/>
      <rgbColor rgb="FFD9D9D9"/>
      <rgbColor rgb="FF000080"/>
      <rgbColor rgb="FFFF00FF"/>
      <rgbColor rgb="FFEAF3EA"/>
      <rgbColor rgb="FF00FFFF"/>
      <rgbColor rgb="FF800080"/>
      <rgbColor rgb="FF800000"/>
      <rgbColor rgb="FF008080"/>
      <rgbColor rgb="FF0000FF"/>
      <rgbColor rgb="FF00CCFF"/>
      <rgbColor rgb="FFEAF1F6"/>
      <rgbColor rgb="FFC6EFCE"/>
      <rgbColor rgb="FFFFEB9C"/>
      <rgbColor rgb="FFE8EEF7"/>
      <rgbColor rgb="FFFBEAEC"/>
      <rgbColor rgb="FFF2EAF6"/>
      <rgbColor rgb="FFFFD8A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8.5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5" hidden="false" customHeight="false" outlineLevel="0" collapsed="false">
      <c r="A5" s="3"/>
      <c r="B5" s="4"/>
    </row>
    <row r="6" customFormat="false" ht="15" hidden="false" customHeight="false" outlineLevel="0" collapsed="false">
      <c r="A6" s="3" t="s">
        <v>4</v>
      </c>
      <c r="B6" s="4"/>
    </row>
    <row r="7" customFormat="false" ht="15" hidden="false" customHeight="false" outlineLevel="0" collapsed="false">
      <c r="A7" s="3" t="s">
        <v>5</v>
      </c>
      <c r="B7" s="4" t="s">
        <v>6</v>
      </c>
    </row>
    <row r="8" customFormat="false" ht="15" hidden="false" customHeight="false" outlineLevel="0" collapsed="false">
      <c r="A8" s="3" t="s">
        <v>7</v>
      </c>
      <c r="B8" s="4" t="s">
        <v>8</v>
      </c>
    </row>
    <row r="9" customFormat="false" ht="15" hidden="false" customHeight="false" outlineLevel="0" collapsed="false">
      <c r="A9" s="3" t="s">
        <v>9</v>
      </c>
      <c r="B9" s="4" t="s">
        <v>10</v>
      </c>
    </row>
    <row r="10" customFormat="false" ht="15" hidden="false" customHeight="false" outlineLevel="0" collapsed="false">
      <c r="A10" s="3" t="s">
        <v>11</v>
      </c>
      <c r="B10" s="4" t="s">
        <v>12</v>
      </c>
    </row>
    <row r="11" customFormat="false" ht="15" hidden="false" customHeight="false" outlineLevel="0" collapsed="false">
      <c r="A11" s="3" t="s">
        <v>13</v>
      </c>
      <c r="B11" s="4" t="s">
        <v>14</v>
      </c>
    </row>
    <row r="12" customFormat="false" ht="15" hidden="false" customHeight="false" outlineLevel="0" collapsed="false">
      <c r="A12" s="3"/>
      <c r="B12" s="4"/>
    </row>
    <row r="13" customFormat="false" ht="15" hidden="false" customHeight="false" outlineLevel="0" collapsed="false">
      <c r="A13" s="3" t="s">
        <v>15</v>
      </c>
      <c r="B13" s="4"/>
    </row>
    <row r="14" customFormat="false" ht="15" hidden="false" customHeight="false" outlineLevel="0" collapsed="false">
      <c r="A14" s="5" t="s">
        <v>16</v>
      </c>
      <c r="B14" s="4" t="s">
        <v>17</v>
      </c>
    </row>
    <row r="15" customFormat="false" ht="15" hidden="false" customHeight="false" outlineLevel="0" collapsed="false">
      <c r="A15" s="6" t="s">
        <v>18</v>
      </c>
      <c r="B15" s="4" t="s">
        <v>19</v>
      </c>
    </row>
    <row r="16" customFormat="false" ht="15" hidden="false" customHeight="false" outlineLevel="0" collapsed="false">
      <c r="A16" s="3"/>
      <c r="B16" s="4"/>
    </row>
    <row r="17" customFormat="false" ht="15" hidden="false" customHeight="false" outlineLevel="0" collapsed="false">
      <c r="A17" s="3" t="s">
        <v>20</v>
      </c>
      <c r="B17" s="4" t="s">
        <v>21</v>
      </c>
    </row>
    <row r="18" customFormat="false" ht="15" hidden="false" customHeight="false" outlineLevel="0" collapsed="false">
      <c r="A18" s="3"/>
      <c r="B18" s="4"/>
    </row>
    <row r="19" customFormat="false" ht="15" hidden="false" customHeight="false" outlineLevel="0" collapsed="false">
      <c r="A19" s="3" t="s">
        <v>22</v>
      </c>
      <c r="B19" s="4"/>
    </row>
    <row r="20" customFormat="false" ht="15" hidden="false" customHeight="false" outlineLevel="0" collapsed="false">
      <c r="A20" s="7" t="s">
        <v>23</v>
      </c>
      <c r="B20" s="4" t="s">
        <v>24</v>
      </c>
    </row>
    <row r="21" customFormat="false" ht="15" hidden="false" customHeight="false" outlineLevel="0" collapsed="false">
      <c r="A21" s="8" t="s">
        <v>25</v>
      </c>
      <c r="B21" s="4" t="s">
        <v>26</v>
      </c>
    </row>
    <row r="22" customFormat="false" ht="15" hidden="false" customHeight="false" outlineLevel="0" collapsed="false">
      <c r="A22" s="9" t="s">
        <v>27</v>
      </c>
      <c r="B22" s="4" t="s">
        <v>28</v>
      </c>
    </row>
    <row r="23" customFormat="false" ht="15" hidden="false" customHeight="false" outlineLevel="0" collapsed="false">
      <c r="A23" s="10" t="s">
        <v>29</v>
      </c>
      <c r="B23" s="4" t="s">
        <v>30</v>
      </c>
    </row>
    <row r="24" customFormat="false" ht="15" hidden="false" customHeight="false" outlineLevel="0" collapsed="false">
      <c r="A24" s="3"/>
      <c r="B24" s="4"/>
    </row>
    <row r="25" customFormat="false" ht="23.85" hidden="false" customHeight="false" outlineLevel="0" collapsed="false">
      <c r="A25" s="3" t="s">
        <v>31</v>
      </c>
      <c r="B25" s="4" t="s">
        <v>32</v>
      </c>
    </row>
    <row r="26" customFormat="false" ht="15" hidden="false" customHeight="false" outlineLevel="0" collapsed="false">
      <c r="A26" s="3"/>
      <c r="B26" s="4"/>
    </row>
    <row r="27" customFormat="false" ht="15" hidden="false" customHeight="false" outlineLevel="0" collapsed="false">
      <c r="A27" s="3" t="s">
        <v>33</v>
      </c>
      <c r="B27" s="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50"/>
    <col collapsed="false" customWidth="true" hidden="false" outlineLevel="0" max="5" min="5" style="0" width="16"/>
    <col collapsed="false" customWidth="true" hidden="false" outlineLevel="0" max="6" min="6" style="0" width="60"/>
    <col collapsed="false" customWidth="true" hidden="false" outlineLevel="0" max="7" min="7" style="0" width="24"/>
    <col collapsed="false" customWidth="true" hidden="false" outlineLevel="0" max="8" min="8" style="0" width="13"/>
    <col collapsed="false" customWidth="true" hidden="false" outlineLevel="0" max="9" min="9" style="0" width="12"/>
    <col collapsed="false" customWidth="true" hidden="false" outlineLevel="0" max="10" min="10" style="0" width="13"/>
  </cols>
  <sheetData>
    <row r="1" customFormat="false" ht="33.75" hidden="false" customHeight="true" outlineLevel="0" collapsed="false">
      <c r="A1" s="11" t="s">
        <v>35</v>
      </c>
      <c r="B1" s="11" t="s">
        <v>36</v>
      </c>
      <c r="C1" s="11" t="s">
        <v>37</v>
      </c>
      <c r="D1" s="11" t="s">
        <v>38</v>
      </c>
      <c r="E1" s="11" t="s">
        <v>39</v>
      </c>
      <c r="F1" s="11" t="s">
        <v>40</v>
      </c>
      <c r="G1" s="11" t="s">
        <v>41</v>
      </c>
      <c r="H1" s="11" t="s">
        <v>42</v>
      </c>
      <c r="I1" s="11" t="s">
        <v>43</v>
      </c>
      <c r="J1" s="11" t="s">
        <v>44</v>
      </c>
    </row>
    <row r="2" customFormat="false" ht="23.85" hidden="false" customHeight="false" outlineLevel="0" collapsed="false">
      <c r="A2" s="12" t="s">
        <v>45</v>
      </c>
      <c r="B2" s="13" t="s">
        <v>46</v>
      </c>
      <c r="C2" s="12" t="s">
        <v>47</v>
      </c>
      <c r="D2" s="12" t="s">
        <v>48</v>
      </c>
      <c r="E2" s="14"/>
      <c r="F2" s="14"/>
      <c r="G2" s="15"/>
      <c r="H2" s="16"/>
      <c r="I2" s="17"/>
      <c r="J2" s="18"/>
    </row>
    <row r="3" customFormat="false" ht="23.85" hidden="false" customHeight="false" outlineLevel="0" collapsed="false">
      <c r="A3" s="12" t="s">
        <v>49</v>
      </c>
      <c r="B3" s="13" t="s">
        <v>46</v>
      </c>
      <c r="C3" s="12" t="s">
        <v>50</v>
      </c>
      <c r="D3" s="12" t="s">
        <v>51</v>
      </c>
      <c r="E3" s="14"/>
      <c r="F3" s="14"/>
      <c r="G3" s="15"/>
      <c r="H3" s="16"/>
      <c r="I3" s="17"/>
      <c r="J3" s="18"/>
    </row>
    <row r="4" customFormat="false" ht="23.85" hidden="false" customHeight="false" outlineLevel="0" collapsed="false">
      <c r="A4" s="12" t="s">
        <v>52</v>
      </c>
      <c r="B4" s="13" t="s">
        <v>46</v>
      </c>
      <c r="C4" s="12" t="s">
        <v>50</v>
      </c>
      <c r="D4" s="12" t="s">
        <v>53</v>
      </c>
      <c r="E4" s="14"/>
      <c r="F4" s="14"/>
      <c r="G4" s="15"/>
      <c r="H4" s="16"/>
      <c r="I4" s="17"/>
      <c r="J4" s="18"/>
    </row>
    <row r="5" customFormat="false" ht="35.05" hidden="false" customHeight="false" outlineLevel="0" collapsed="false">
      <c r="A5" s="12" t="s">
        <v>54</v>
      </c>
      <c r="B5" s="13" t="s">
        <v>46</v>
      </c>
      <c r="C5" s="12" t="s">
        <v>55</v>
      </c>
      <c r="D5" s="12" t="s">
        <v>56</v>
      </c>
      <c r="E5" s="14"/>
      <c r="F5" s="14"/>
      <c r="G5" s="15"/>
      <c r="H5" s="16"/>
      <c r="I5" s="17"/>
      <c r="J5" s="18"/>
    </row>
    <row r="6" customFormat="false" ht="23.85" hidden="false" customHeight="false" outlineLevel="0" collapsed="false">
      <c r="A6" s="12" t="s">
        <v>57</v>
      </c>
      <c r="B6" s="13" t="s">
        <v>46</v>
      </c>
      <c r="C6" s="12" t="s">
        <v>58</v>
      </c>
      <c r="D6" s="12" t="s">
        <v>59</v>
      </c>
      <c r="E6" s="14"/>
      <c r="F6" s="14"/>
      <c r="G6" s="15"/>
      <c r="H6" s="16"/>
      <c r="I6" s="17"/>
      <c r="J6" s="18"/>
    </row>
    <row r="7" customFormat="false" ht="23.85" hidden="false" customHeight="false" outlineLevel="0" collapsed="false">
      <c r="A7" s="12" t="s">
        <v>60</v>
      </c>
      <c r="B7" s="13" t="s">
        <v>46</v>
      </c>
      <c r="C7" s="12" t="s">
        <v>61</v>
      </c>
      <c r="D7" s="12" t="s">
        <v>62</v>
      </c>
      <c r="E7" s="14"/>
      <c r="F7" s="14"/>
      <c r="G7" s="15"/>
      <c r="H7" s="16"/>
      <c r="I7" s="17"/>
      <c r="J7" s="18"/>
    </row>
    <row r="8" customFormat="false" ht="15" hidden="false" customHeight="false" outlineLevel="0" collapsed="false">
      <c r="A8" s="12" t="s">
        <v>63</v>
      </c>
      <c r="B8" s="13" t="s">
        <v>46</v>
      </c>
      <c r="C8" s="12" t="s">
        <v>64</v>
      </c>
      <c r="D8" s="12" t="s">
        <v>65</v>
      </c>
      <c r="E8" s="14"/>
      <c r="F8" s="14"/>
      <c r="G8" s="15"/>
      <c r="H8" s="16"/>
      <c r="I8" s="17"/>
      <c r="J8" s="18"/>
    </row>
    <row r="9" customFormat="false" ht="23.85" hidden="false" customHeight="false" outlineLevel="0" collapsed="false">
      <c r="A9" s="12" t="s">
        <v>66</v>
      </c>
      <c r="B9" s="13" t="s">
        <v>46</v>
      </c>
      <c r="C9" s="12" t="s">
        <v>67</v>
      </c>
      <c r="D9" s="12" t="s">
        <v>68</v>
      </c>
      <c r="E9" s="14"/>
      <c r="F9" s="14"/>
      <c r="G9" s="15"/>
      <c r="H9" s="16"/>
      <c r="I9" s="17"/>
      <c r="J9" s="18"/>
    </row>
    <row r="10" customFormat="false" ht="23.85" hidden="false" customHeight="false" outlineLevel="0" collapsed="false">
      <c r="A10" s="12" t="s">
        <v>69</v>
      </c>
      <c r="B10" s="13" t="s">
        <v>46</v>
      </c>
      <c r="C10" s="12" t="s">
        <v>47</v>
      </c>
      <c r="D10" s="12" t="s">
        <v>70</v>
      </c>
      <c r="E10" s="14"/>
      <c r="F10" s="14"/>
      <c r="G10" s="15"/>
      <c r="H10" s="16"/>
      <c r="I10" s="17"/>
      <c r="J10" s="18"/>
    </row>
    <row r="11" customFormat="false" ht="15" hidden="false" customHeight="false" outlineLevel="0" collapsed="false">
      <c r="A11" s="12" t="s">
        <v>71</v>
      </c>
      <c r="B11" s="13" t="s">
        <v>46</v>
      </c>
      <c r="C11" s="12" t="s">
        <v>72</v>
      </c>
      <c r="D11" s="12" t="s">
        <v>73</v>
      </c>
      <c r="E11" s="14"/>
      <c r="F11" s="14"/>
      <c r="G11" s="15"/>
      <c r="H11" s="16"/>
      <c r="I11" s="17"/>
      <c r="J11" s="18"/>
    </row>
    <row r="12" customFormat="false" ht="23.85" hidden="false" customHeight="false" outlineLevel="0" collapsed="false">
      <c r="A12" s="12" t="s">
        <v>74</v>
      </c>
      <c r="B12" s="13" t="s">
        <v>46</v>
      </c>
      <c r="C12" s="12" t="s">
        <v>47</v>
      </c>
      <c r="D12" s="12" t="s">
        <v>75</v>
      </c>
      <c r="E12" s="14"/>
      <c r="F12" s="14"/>
      <c r="G12" s="15"/>
      <c r="H12" s="16"/>
      <c r="I12" s="17"/>
      <c r="J12" s="18"/>
    </row>
    <row r="13" customFormat="false" ht="23.85" hidden="false" customHeight="false" outlineLevel="0" collapsed="false">
      <c r="A13" s="12" t="s">
        <v>76</v>
      </c>
      <c r="B13" s="13" t="s">
        <v>46</v>
      </c>
      <c r="C13" s="12" t="s">
        <v>55</v>
      </c>
      <c r="D13" s="12" t="s">
        <v>77</v>
      </c>
      <c r="E13" s="14"/>
      <c r="F13" s="14"/>
      <c r="G13" s="15"/>
      <c r="H13" s="16"/>
      <c r="I13" s="17"/>
      <c r="J13" s="18"/>
    </row>
    <row r="14" customFormat="false" ht="23.85" hidden="false" customHeight="false" outlineLevel="0" collapsed="false">
      <c r="A14" s="12" t="s">
        <v>78</v>
      </c>
      <c r="B14" s="13" t="s">
        <v>46</v>
      </c>
      <c r="C14" s="12" t="s">
        <v>61</v>
      </c>
      <c r="D14" s="12" t="s">
        <v>79</v>
      </c>
      <c r="E14" s="14"/>
      <c r="F14" s="14"/>
      <c r="G14" s="15"/>
      <c r="H14" s="16"/>
      <c r="I14" s="17"/>
      <c r="J14" s="18"/>
    </row>
    <row r="15" customFormat="false" ht="23.85" hidden="false" customHeight="false" outlineLevel="0" collapsed="false">
      <c r="A15" s="12" t="s">
        <v>80</v>
      </c>
      <c r="B15" s="13" t="s">
        <v>46</v>
      </c>
      <c r="C15" s="12" t="s">
        <v>50</v>
      </c>
      <c r="D15" s="12" t="s">
        <v>81</v>
      </c>
      <c r="E15" s="14"/>
      <c r="F15" s="14"/>
      <c r="G15" s="15"/>
      <c r="H15" s="16"/>
      <c r="I15" s="17"/>
      <c r="J15" s="18"/>
    </row>
    <row r="16" customFormat="false" ht="23.85" hidden="false" customHeight="false" outlineLevel="0" collapsed="false">
      <c r="A16" s="12" t="s">
        <v>82</v>
      </c>
      <c r="B16" s="13" t="s">
        <v>46</v>
      </c>
      <c r="C16" s="12" t="s">
        <v>55</v>
      </c>
      <c r="D16" s="12" t="s">
        <v>83</v>
      </c>
      <c r="E16" s="14"/>
      <c r="F16" s="14"/>
      <c r="G16" s="15"/>
      <c r="H16" s="16"/>
      <c r="I16" s="17"/>
      <c r="J16" s="18"/>
    </row>
    <row r="17" customFormat="false" ht="15" hidden="false" customHeight="false" outlineLevel="0" collapsed="false">
      <c r="A17" s="12" t="s">
        <v>84</v>
      </c>
      <c r="B17" s="13" t="s">
        <v>46</v>
      </c>
      <c r="C17" s="12" t="s">
        <v>47</v>
      </c>
      <c r="D17" s="12" t="s">
        <v>85</v>
      </c>
      <c r="E17" s="14"/>
      <c r="F17" s="14"/>
      <c r="G17" s="15"/>
      <c r="H17" s="16"/>
      <c r="I17" s="17"/>
      <c r="J17" s="18"/>
    </row>
    <row r="18" customFormat="false" ht="15" hidden="false" customHeight="false" outlineLevel="0" collapsed="false">
      <c r="A18" s="12" t="s">
        <v>86</v>
      </c>
      <c r="B18" s="13" t="s">
        <v>46</v>
      </c>
      <c r="C18" s="12" t="s">
        <v>64</v>
      </c>
      <c r="D18" s="12" t="s">
        <v>87</v>
      </c>
      <c r="E18" s="14"/>
      <c r="F18" s="14"/>
      <c r="G18" s="15"/>
      <c r="H18" s="16"/>
      <c r="I18" s="17"/>
      <c r="J18" s="18"/>
    </row>
    <row r="19" customFormat="false" ht="23.85" hidden="false" customHeight="false" outlineLevel="0" collapsed="false">
      <c r="A19" s="12" t="s">
        <v>88</v>
      </c>
      <c r="B19" s="13" t="s">
        <v>46</v>
      </c>
      <c r="C19" s="12" t="s">
        <v>58</v>
      </c>
      <c r="D19" s="12" t="s">
        <v>89</v>
      </c>
      <c r="E19" s="14"/>
      <c r="F19" s="14"/>
      <c r="G19" s="15"/>
      <c r="H19" s="16"/>
      <c r="I19" s="17"/>
      <c r="J19" s="18"/>
    </row>
    <row r="20" customFormat="false" ht="15" hidden="false" customHeight="false" outlineLevel="0" collapsed="false">
      <c r="A20" s="12" t="s">
        <v>90</v>
      </c>
      <c r="B20" s="13" t="s">
        <v>46</v>
      </c>
      <c r="C20" s="12" t="s">
        <v>50</v>
      </c>
      <c r="D20" s="12" t="s">
        <v>91</v>
      </c>
      <c r="E20" s="14"/>
      <c r="F20" s="14"/>
      <c r="G20" s="15"/>
      <c r="H20" s="16"/>
      <c r="I20" s="17"/>
      <c r="J20" s="18"/>
    </row>
    <row r="21" customFormat="false" ht="23.85" hidden="false" customHeight="false" outlineLevel="0" collapsed="false">
      <c r="A21" s="12" t="s">
        <v>92</v>
      </c>
      <c r="B21" s="13" t="s">
        <v>46</v>
      </c>
      <c r="C21" s="12" t="s">
        <v>61</v>
      </c>
      <c r="D21" s="12" t="s">
        <v>93</v>
      </c>
      <c r="E21" s="14"/>
      <c r="F21" s="14"/>
      <c r="G21" s="15"/>
      <c r="H21" s="16"/>
      <c r="I21" s="17"/>
      <c r="J21" s="18"/>
    </row>
    <row r="22" customFormat="false" ht="23.85" hidden="false" customHeight="false" outlineLevel="0" collapsed="false">
      <c r="A22" s="12" t="s">
        <v>94</v>
      </c>
      <c r="B22" s="13" t="s">
        <v>46</v>
      </c>
      <c r="C22" s="12" t="s">
        <v>47</v>
      </c>
      <c r="D22" s="12" t="s">
        <v>95</v>
      </c>
      <c r="E22" s="14"/>
      <c r="F22" s="14"/>
      <c r="G22" s="15"/>
      <c r="H22" s="16"/>
      <c r="I22" s="17"/>
      <c r="J22" s="18"/>
    </row>
    <row r="23" customFormat="false" ht="15" hidden="false" customHeight="false" outlineLevel="0" collapsed="false">
      <c r="A23" s="12" t="s">
        <v>96</v>
      </c>
      <c r="B23" s="13" t="s">
        <v>46</v>
      </c>
      <c r="C23" s="12" t="s">
        <v>64</v>
      </c>
      <c r="D23" s="12" t="s">
        <v>97</v>
      </c>
      <c r="E23" s="14"/>
      <c r="F23" s="14"/>
      <c r="G23" s="15"/>
      <c r="H23" s="16"/>
      <c r="I23" s="17"/>
      <c r="J23" s="18"/>
    </row>
    <row r="24" customFormat="false" ht="15" hidden="false" customHeight="false" outlineLevel="0" collapsed="false">
      <c r="A24" s="12" t="s">
        <v>98</v>
      </c>
      <c r="B24" s="13" t="s">
        <v>46</v>
      </c>
      <c r="C24" s="12" t="s">
        <v>50</v>
      </c>
      <c r="D24" s="12" t="s">
        <v>99</v>
      </c>
      <c r="E24" s="14"/>
      <c r="F24" s="14"/>
      <c r="G24" s="15"/>
      <c r="H24" s="16"/>
      <c r="I24" s="17"/>
      <c r="J24" s="18"/>
    </row>
    <row r="25" customFormat="false" ht="23.85" hidden="false" customHeight="false" outlineLevel="0" collapsed="false">
      <c r="A25" s="12" t="s">
        <v>100</v>
      </c>
      <c r="B25" s="13" t="s">
        <v>46</v>
      </c>
      <c r="C25" s="12" t="s">
        <v>55</v>
      </c>
      <c r="D25" s="12" t="s">
        <v>101</v>
      </c>
      <c r="E25" s="14"/>
      <c r="F25" s="14"/>
      <c r="G25" s="15"/>
      <c r="H25" s="16"/>
      <c r="I25" s="17"/>
      <c r="J25" s="18"/>
    </row>
    <row r="26" customFormat="false" ht="15" hidden="false" customHeight="false" outlineLevel="0" collapsed="false">
      <c r="A26" s="12" t="s">
        <v>102</v>
      </c>
      <c r="B26" s="13" t="s">
        <v>46</v>
      </c>
      <c r="C26" s="12" t="s">
        <v>72</v>
      </c>
      <c r="D26" s="12" t="s">
        <v>103</v>
      </c>
      <c r="E26" s="14"/>
      <c r="F26" s="14"/>
      <c r="G26" s="15"/>
      <c r="H26" s="16"/>
      <c r="I26" s="17"/>
      <c r="J26" s="18"/>
    </row>
    <row r="27" customFormat="false" ht="23.85" hidden="false" customHeight="false" outlineLevel="0" collapsed="false">
      <c r="A27" s="12" t="s">
        <v>104</v>
      </c>
      <c r="B27" s="19" t="s">
        <v>105</v>
      </c>
      <c r="C27" s="12" t="s">
        <v>47</v>
      </c>
      <c r="D27" s="12" t="s">
        <v>106</v>
      </c>
      <c r="E27" s="14"/>
      <c r="F27" s="14"/>
      <c r="G27" s="15"/>
      <c r="H27" s="16"/>
      <c r="I27" s="17"/>
      <c r="J27" s="18"/>
    </row>
    <row r="28" customFormat="false" ht="15" hidden="false" customHeight="false" outlineLevel="0" collapsed="false">
      <c r="A28" s="12" t="s">
        <v>107</v>
      </c>
      <c r="B28" s="19" t="s">
        <v>105</v>
      </c>
      <c r="C28" s="12" t="s">
        <v>47</v>
      </c>
      <c r="D28" s="12" t="s">
        <v>108</v>
      </c>
      <c r="E28" s="14"/>
      <c r="F28" s="14"/>
      <c r="G28" s="15"/>
      <c r="H28" s="16"/>
      <c r="I28" s="17"/>
      <c r="J28" s="18"/>
    </row>
    <row r="29" customFormat="false" ht="23.85" hidden="false" customHeight="false" outlineLevel="0" collapsed="false">
      <c r="A29" s="12" t="s">
        <v>109</v>
      </c>
      <c r="B29" s="19" t="s">
        <v>105</v>
      </c>
      <c r="C29" s="12" t="s">
        <v>50</v>
      </c>
      <c r="D29" s="12" t="s">
        <v>110</v>
      </c>
      <c r="E29" s="14"/>
      <c r="F29" s="14"/>
      <c r="G29" s="15"/>
      <c r="H29" s="16"/>
      <c r="I29" s="17"/>
      <c r="J29" s="18"/>
    </row>
    <row r="30" customFormat="false" ht="23.85" hidden="false" customHeight="false" outlineLevel="0" collapsed="false">
      <c r="A30" s="12" t="s">
        <v>111</v>
      </c>
      <c r="B30" s="19" t="s">
        <v>105</v>
      </c>
      <c r="C30" s="12" t="s">
        <v>55</v>
      </c>
      <c r="D30" s="12" t="s">
        <v>112</v>
      </c>
      <c r="E30" s="14"/>
      <c r="F30" s="14"/>
      <c r="G30" s="15"/>
      <c r="H30" s="16"/>
      <c r="I30" s="17"/>
      <c r="J30" s="18"/>
    </row>
    <row r="31" customFormat="false" ht="23.85" hidden="false" customHeight="false" outlineLevel="0" collapsed="false">
      <c r="A31" s="12" t="s">
        <v>113</v>
      </c>
      <c r="B31" s="19" t="s">
        <v>105</v>
      </c>
      <c r="C31" s="12" t="s">
        <v>61</v>
      </c>
      <c r="D31" s="12" t="s">
        <v>114</v>
      </c>
      <c r="E31" s="14"/>
      <c r="F31" s="14"/>
      <c r="G31" s="15"/>
      <c r="H31" s="16"/>
      <c r="I31" s="17"/>
      <c r="J31" s="18"/>
    </row>
    <row r="32" customFormat="false" ht="23.85" hidden="false" customHeight="false" outlineLevel="0" collapsed="false">
      <c r="A32" s="12" t="s">
        <v>115</v>
      </c>
      <c r="B32" s="19" t="s">
        <v>105</v>
      </c>
      <c r="C32" s="12" t="s">
        <v>64</v>
      </c>
      <c r="D32" s="12" t="s">
        <v>116</v>
      </c>
      <c r="E32" s="14"/>
      <c r="F32" s="14"/>
      <c r="G32" s="15"/>
      <c r="H32" s="16"/>
      <c r="I32" s="17"/>
      <c r="J32" s="18"/>
    </row>
    <row r="33" customFormat="false" ht="23.85" hidden="false" customHeight="false" outlineLevel="0" collapsed="false">
      <c r="A33" s="12" t="s">
        <v>117</v>
      </c>
      <c r="B33" s="19" t="s">
        <v>105</v>
      </c>
      <c r="C33" s="12" t="s">
        <v>61</v>
      </c>
      <c r="D33" s="12" t="s">
        <v>118</v>
      </c>
      <c r="E33" s="14"/>
      <c r="F33" s="14"/>
      <c r="G33" s="15"/>
      <c r="H33" s="16"/>
      <c r="I33" s="17"/>
      <c r="J33" s="18"/>
    </row>
    <row r="34" customFormat="false" ht="23.85" hidden="false" customHeight="false" outlineLevel="0" collapsed="false">
      <c r="A34" s="12" t="s">
        <v>119</v>
      </c>
      <c r="B34" s="19" t="s">
        <v>105</v>
      </c>
      <c r="C34" s="12" t="s">
        <v>67</v>
      </c>
      <c r="D34" s="12" t="s">
        <v>120</v>
      </c>
      <c r="E34" s="14"/>
      <c r="F34" s="14"/>
      <c r="G34" s="15"/>
      <c r="H34" s="16"/>
      <c r="I34" s="17"/>
      <c r="J34" s="18"/>
    </row>
    <row r="35" customFormat="false" ht="15" hidden="false" customHeight="false" outlineLevel="0" collapsed="false">
      <c r="A35" s="12" t="s">
        <v>121</v>
      </c>
      <c r="B35" s="19" t="s">
        <v>105</v>
      </c>
      <c r="C35" s="12" t="s">
        <v>47</v>
      </c>
      <c r="D35" s="12" t="s">
        <v>122</v>
      </c>
      <c r="E35" s="14"/>
      <c r="F35" s="14"/>
      <c r="G35" s="15"/>
      <c r="H35" s="16"/>
      <c r="I35" s="17"/>
      <c r="J35" s="18"/>
    </row>
    <row r="36" customFormat="false" ht="15" hidden="false" customHeight="false" outlineLevel="0" collapsed="false">
      <c r="A36" s="12" t="s">
        <v>123</v>
      </c>
      <c r="B36" s="19" t="s">
        <v>105</v>
      </c>
      <c r="C36" s="12" t="s">
        <v>55</v>
      </c>
      <c r="D36" s="12" t="s">
        <v>124</v>
      </c>
      <c r="E36" s="14"/>
      <c r="F36" s="14"/>
      <c r="G36" s="15"/>
      <c r="H36" s="16"/>
      <c r="I36" s="17"/>
      <c r="J36" s="18"/>
    </row>
    <row r="37" customFormat="false" ht="23.85" hidden="false" customHeight="false" outlineLevel="0" collapsed="false">
      <c r="A37" s="12" t="s">
        <v>125</v>
      </c>
      <c r="B37" s="19" t="s">
        <v>105</v>
      </c>
      <c r="C37" s="12" t="s">
        <v>50</v>
      </c>
      <c r="D37" s="12" t="s">
        <v>126</v>
      </c>
      <c r="E37" s="14"/>
      <c r="F37" s="14"/>
      <c r="G37" s="15"/>
      <c r="H37" s="16"/>
      <c r="I37" s="17"/>
      <c r="J37" s="18"/>
    </row>
    <row r="38" customFormat="false" ht="23.85" hidden="false" customHeight="false" outlineLevel="0" collapsed="false">
      <c r="A38" s="12" t="s">
        <v>127</v>
      </c>
      <c r="B38" s="19" t="s">
        <v>105</v>
      </c>
      <c r="C38" s="12" t="s">
        <v>50</v>
      </c>
      <c r="D38" s="12" t="s">
        <v>128</v>
      </c>
      <c r="E38" s="14"/>
      <c r="F38" s="14"/>
      <c r="G38" s="15"/>
      <c r="H38" s="16"/>
      <c r="I38" s="17"/>
      <c r="J38" s="18"/>
    </row>
    <row r="39" customFormat="false" ht="15" hidden="false" customHeight="false" outlineLevel="0" collapsed="false">
      <c r="A39" s="12" t="s">
        <v>129</v>
      </c>
      <c r="B39" s="19" t="s">
        <v>105</v>
      </c>
      <c r="C39" s="12" t="s">
        <v>67</v>
      </c>
      <c r="D39" s="12" t="s">
        <v>130</v>
      </c>
      <c r="E39" s="14"/>
      <c r="F39" s="14"/>
      <c r="G39" s="15"/>
      <c r="H39" s="16"/>
      <c r="I39" s="17"/>
      <c r="J39" s="18"/>
    </row>
    <row r="40" customFormat="false" ht="23.85" hidden="false" customHeight="false" outlineLevel="0" collapsed="false">
      <c r="A40" s="12" t="s">
        <v>131</v>
      </c>
      <c r="B40" s="19" t="s">
        <v>105</v>
      </c>
      <c r="C40" s="12" t="s">
        <v>61</v>
      </c>
      <c r="D40" s="12" t="s">
        <v>132</v>
      </c>
      <c r="E40" s="14"/>
      <c r="F40" s="14"/>
      <c r="G40" s="15"/>
      <c r="H40" s="16"/>
      <c r="I40" s="17"/>
      <c r="J40" s="18"/>
    </row>
    <row r="41" customFormat="false" ht="23.85" hidden="false" customHeight="false" outlineLevel="0" collapsed="false">
      <c r="A41" s="12" t="s">
        <v>133</v>
      </c>
      <c r="B41" s="19" t="s">
        <v>105</v>
      </c>
      <c r="C41" s="12" t="s">
        <v>58</v>
      </c>
      <c r="D41" s="12" t="s">
        <v>134</v>
      </c>
      <c r="E41" s="14"/>
      <c r="F41" s="14"/>
      <c r="G41" s="15"/>
      <c r="H41" s="16"/>
      <c r="I41" s="17"/>
      <c r="J41" s="18"/>
    </row>
    <row r="42" customFormat="false" ht="15" hidden="false" customHeight="false" outlineLevel="0" collapsed="false">
      <c r="A42" s="12" t="s">
        <v>135</v>
      </c>
      <c r="B42" s="19" t="s">
        <v>105</v>
      </c>
      <c r="C42" s="12" t="s">
        <v>47</v>
      </c>
      <c r="D42" s="12" t="s">
        <v>136</v>
      </c>
      <c r="E42" s="14"/>
      <c r="F42" s="14"/>
      <c r="G42" s="15"/>
      <c r="H42" s="16"/>
      <c r="I42" s="17"/>
      <c r="J42" s="18"/>
    </row>
    <row r="43" customFormat="false" ht="15" hidden="false" customHeight="false" outlineLevel="0" collapsed="false">
      <c r="A43" s="12" t="s">
        <v>137</v>
      </c>
      <c r="B43" s="19" t="s">
        <v>105</v>
      </c>
      <c r="C43" s="12" t="s">
        <v>55</v>
      </c>
      <c r="D43" s="12" t="s">
        <v>138</v>
      </c>
      <c r="E43" s="14"/>
      <c r="F43" s="14"/>
      <c r="G43" s="15"/>
      <c r="H43" s="16"/>
      <c r="I43" s="17"/>
      <c r="J43" s="18"/>
    </row>
    <row r="44" customFormat="false" ht="23.85" hidden="false" customHeight="false" outlineLevel="0" collapsed="false">
      <c r="A44" s="12" t="s">
        <v>139</v>
      </c>
      <c r="B44" s="19" t="s">
        <v>105</v>
      </c>
      <c r="C44" s="12" t="s">
        <v>58</v>
      </c>
      <c r="D44" s="12" t="s">
        <v>140</v>
      </c>
      <c r="E44" s="14"/>
      <c r="F44" s="14"/>
      <c r="G44" s="15"/>
      <c r="H44" s="16"/>
      <c r="I44" s="17"/>
      <c r="J44" s="18"/>
    </row>
    <row r="45" customFormat="false" ht="15" hidden="false" customHeight="false" outlineLevel="0" collapsed="false">
      <c r="A45" s="12" t="s">
        <v>141</v>
      </c>
      <c r="B45" s="19" t="s">
        <v>105</v>
      </c>
      <c r="C45" s="12" t="s">
        <v>50</v>
      </c>
      <c r="D45" s="12" t="s">
        <v>142</v>
      </c>
      <c r="E45" s="14"/>
      <c r="F45" s="14"/>
      <c r="G45" s="15"/>
      <c r="H45" s="16"/>
      <c r="I45" s="17"/>
      <c r="J45" s="18"/>
    </row>
    <row r="46" customFormat="false" ht="23.85" hidden="false" customHeight="false" outlineLevel="0" collapsed="false">
      <c r="A46" s="12" t="s">
        <v>143</v>
      </c>
      <c r="B46" s="19" t="s">
        <v>105</v>
      </c>
      <c r="C46" s="12" t="s">
        <v>61</v>
      </c>
      <c r="D46" s="12" t="s">
        <v>144</v>
      </c>
      <c r="E46" s="14"/>
      <c r="F46" s="14"/>
      <c r="G46" s="15"/>
      <c r="H46" s="16"/>
      <c r="I46" s="17"/>
      <c r="J46" s="18"/>
    </row>
    <row r="47" customFormat="false" ht="23.85" hidden="false" customHeight="false" outlineLevel="0" collapsed="false">
      <c r="A47" s="12" t="s">
        <v>145</v>
      </c>
      <c r="B47" s="19" t="s">
        <v>105</v>
      </c>
      <c r="C47" s="12" t="s">
        <v>47</v>
      </c>
      <c r="D47" s="12" t="s">
        <v>146</v>
      </c>
      <c r="E47" s="14"/>
      <c r="F47" s="14"/>
      <c r="G47" s="15"/>
      <c r="H47" s="16"/>
      <c r="I47" s="17"/>
      <c r="J47" s="18"/>
    </row>
    <row r="48" customFormat="false" ht="23.85" hidden="false" customHeight="false" outlineLevel="0" collapsed="false">
      <c r="A48" s="12" t="s">
        <v>147</v>
      </c>
      <c r="B48" s="19" t="s">
        <v>105</v>
      </c>
      <c r="C48" s="12" t="s">
        <v>61</v>
      </c>
      <c r="D48" s="12" t="s">
        <v>148</v>
      </c>
      <c r="E48" s="14"/>
      <c r="F48" s="14"/>
      <c r="G48" s="15"/>
      <c r="H48" s="16"/>
      <c r="I48" s="17"/>
      <c r="J48" s="18"/>
    </row>
    <row r="49" customFormat="false" ht="15" hidden="false" customHeight="false" outlineLevel="0" collapsed="false">
      <c r="A49" s="12" t="s">
        <v>149</v>
      </c>
      <c r="B49" s="19" t="s">
        <v>105</v>
      </c>
      <c r="C49" s="12" t="s">
        <v>55</v>
      </c>
      <c r="D49" s="12" t="s">
        <v>150</v>
      </c>
      <c r="E49" s="14"/>
      <c r="F49" s="14"/>
      <c r="G49" s="15"/>
      <c r="H49" s="16"/>
      <c r="I49" s="17"/>
      <c r="J49" s="18"/>
    </row>
    <row r="50" customFormat="false" ht="23.85" hidden="false" customHeight="false" outlineLevel="0" collapsed="false">
      <c r="A50" s="12" t="s">
        <v>151</v>
      </c>
      <c r="B50" s="19" t="s">
        <v>105</v>
      </c>
      <c r="C50" s="12" t="s">
        <v>64</v>
      </c>
      <c r="D50" s="12" t="s">
        <v>152</v>
      </c>
      <c r="E50" s="14"/>
      <c r="F50" s="14"/>
      <c r="G50" s="15"/>
      <c r="H50" s="16"/>
      <c r="I50" s="17"/>
      <c r="J50" s="18"/>
    </row>
    <row r="51" customFormat="false" ht="23.85" hidden="false" customHeight="false" outlineLevel="0" collapsed="false">
      <c r="A51" s="12" t="s">
        <v>153</v>
      </c>
      <c r="B51" s="19" t="s">
        <v>105</v>
      </c>
      <c r="C51" s="12" t="s">
        <v>50</v>
      </c>
      <c r="D51" s="12" t="s">
        <v>154</v>
      </c>
      <c r="E51" s="14"/>
      <c r="F51" s="14"/>
      <c r="G51" s="15"/>
      <c r="H51" s="16"/>
      <c r="I51" s="17"/>
      <c r="J51" s="18"/>
    </row>
    <row r="52" customFormat="false" ht="23.85" hidden="false" customHeight="false" outlineLevel="0" collapsed="false">
      <c r="A52" s="12" t="s">
        <v>155</v>
      </c>
      <c r="B52" s="20" t="s">
        <v>156</v>
      </c>
      <c r="C52" s="12" t="s">
        <v>47</v>
      </c>
      <c r="D52" s="12" t="s">
        <v>157</v>
      </c>
      <c r="E52" s="14"/>
      <c r="F52" s="14"/>
      <c r="G52" s="15"/>
      <c r="H52" s="16"/>
      <c r="I52" s="17"/>
      <c r="J52" s="18"/>
    </row>
    <row r="53" customFormat="false" ht="23.85" hidden="false" customHeight="false" outlineLevel="0" collapsed="false">
      <c r="A53" s="12" t="s">
        <v>158</v>
      </c>
      <c r="B53" s="20" t="s">
        <v>156</v>
      </c>
      <c r="C53" s="12" t="s">
        <v>55</v>
      </c>
      <c r="D53" s="12" t="s">
        <v>159</v>
      </c>
      <c r="E53" s="14"/>
      <c r="F53" s="14"/>
      <c r="G53" s="15"/>
      <c r="H53" s="16"/>
      <c r="I53" s="17"/>
      <c r="J53" s="18"/>
    </row>
    <row r="54" customFormat="false" ht="23.85" hidden="false" customHeight="false" outlineLevel="0" collapsed="false">
      <c r="A54" s="12" t="s">
        <v>160</v>
      </c>
      <c r="B54" s="20" t="s">
        <v>156</v>
      </c>
      <c r="C54" s="12" t="s">
        <v>50</v>
      </c>
      <c r="D54" s="12" t="s">
        <v>161</v>
      </c>
      <c r="E54" s="14"/>
      <c r="F54" s="14"/>
      <c r="G54" s="15"/>
      <c r="H54" s="16"/>
      <c r="I54" s="17"/>
      <c r="J54" s="18"/>
    </row>
    <row r="55" customFormat="false" ht="35.05" hidden="false" customHeight="false" outlineLevel="0" collapsed="false">
      <c r="A55" s="12" t="s">
        <v>162</v>
      </c>
      <c r="B55" s="20" t="s">
        <v>156</v>
      </c>
      <c r="C55" s="12" t="s">
        <v>163</v>
      </c>
      <c r="D55" s="12" t="s">
        <v>164</v>
      </c>
      <c r="E55" s="14"/>
      <c r="F55" s="14"/>
      <c r="G55" s="15"/>
      <c r="H55" s="16"/>
      <c r="I55" s="17"/>
      <c r="J55" s="18"/>
    </row>
    <row r="56" customFormat="false" ht="23.85" hidden="false" customHeight="false" outlineLevel="0" collapsed="false">
      <c r="A56" s="12" t="s">
        <v>165</v>
      </c>
      <c r="B56" s="20" t="s">
        <v>156</v>
      </c>
      <c r="C56" s="12" t="s">
        <v>163</v>
      </c>
      <c r="D56" s="12" t="s">
        <v>166</v>
      </c>
      <c r="E56" s="14"/>
      <c r="F56" s="14"/>
      <c r="G56" s="15"/>
      <c r="H56" s="16"/>
      <c r="I56" s="17"/>
      <c r="J56" s="18"/>
    </row>
    <row r="57" customFormat="false" ht="23.85" hidden="false" customHeight="false" outlineLevel="0" collapsed="false">
      <c r="A57" s="12" t="s">
        <v>167</v>
      </c>
      <c r="B57" s="20" t="s">
        <v>156</v>
      </c>
      <c r="C57" s="12" t="s">
        <v>163</v>
      </c>
      <c r="D57" s="12" t="s">
        <v>168</v>
      </c>
      <c r="E57" s="14"/>
      <c r="F57" s="14"/>
      <c r="G57" s="15"/>
      <c r="H57" s="16"/>
      <c r="I57" s="17"/>
      <c r="J57" s="18"/>
    </row>
    <row r="58" customFormat="false" ht="35.05" hidden="false" customHeight="false" outlineLevel="0" collapsed="false">
      <c r="A58" s="12" t="s">
        <v>169</v>
      </c>
      <c r="B58" s="20" t="s">
        <v>156</v>
      </c>
      <c r="C58" s="12" t="s">
        <v>163</v>
      </c>
      <c r="D58" s="12" t="s">
        <v>170</v>
      </c>
      <c r="E58" s="14"/>
      <c r="F58" s="14"/>
      <c r="G58" s="15"/>
      <c r="H58" s="16"/>
      <c r="I58" s="17"/>
      <c r="J58" s="18"/>
    </row>
    <row r="59" customFormat="false" ht="23.85" hidden="false" customHeight="false" outlineLevel="0" collapsed="false">
      <c r="A59" s="12" t="s">
        <v>171</v>
      </c>
      <c r="B59" s="20" t="s">
        <v>156</v>
      </c>
      <c r="C59" s="12" t="s">
        <v>72</v>
      </c>
      <c r="D59" s="12" t="s">
        <v>172</v>
      </c>
      <c r="E59" s="14"/>
      <c r="F59" s="14"/>
      <c r="G59" s="15"/>
      <c r="H59" s="16"/>
      <c r="I59" s="17"/>
      <c r="J59" s="18"/>
    </row>
    <row r="60" customFormat="false" ht="23.85" hidden="false" customHeight="false" outlineLevel="0" collapsed="false">
      <c r="A60" s="12" t="s">
        <v>173</v>
      </c>
      <c r="B60" s="20" t="s">
        <v>156</v>
      </c>
      <c r="C60" s="12" t="s">
        <v>50</v>
      </c>
      <c r="D60" s="12" t="s">
        <v>174</v>
      </c>
      <c r="E60" s="14"/>
      <c r="F60" s="14"/>
      <c r="G60" s="15"/>
      <c r="H60" s="16"/>
      <c r="I60" s="17"/>
      <c r="J60" s="18"/>
    </row>
    <row r="61" customFormat="false" ht="23.85" hidden="false" customHeight="false" outlineLevel="0" collapsed="false">
      <c r="A61" s="12" t="s">
        <v>175</v>
      </c>
      <c r="B61" s="20" t="s">
        <v>156</v>
      </c>
      <c r="C61" s="12" t="s">
        <v>64</v>
      </c>
      <c r="D61" s="12" t="s">
        <v>176</v>
      </c>
      <c r="E61" s="14"/>
      <c r="F61" s="14"/>
      <c r="G61" s="15"/>
      <c r="H61" s="16"/>
      <c r="I61" s="17"/>
      <c r="J61" s="18"/>
    </row>
    <row r="62" customFormat="false" ht="23.85" hidden="false" customHeight="false" outlineLevel="0" collapsed="false">
      <c r="A62" s="12" t="s">
        <v>177</v>
      </c>
      <c r="B62" s="20" t="s">
        <v>156</v>
      </c>
      <c r="C62" s="12" t="s">
        <v>50</v>
      </c>
      <c r="D62" s="12" t="s">
        <v>178</v>
      </c>
      <c r="E62" s="14"/>
      <c r="F62" s="14"/>
      <c r="G62" s="15"/>
      <c r="H62" s="16"/>
      <c r="I62" s="17"/>
      <c r="J62" s="18"/>
    </row>
    <row r="63" customFormat="false" ht="23.85" hidden="false" customHeight="false" outlineLevel="0" collapsed="false">
      <c r="A63" s="12" t="s">
        <v>179</v>
      </c>
      <c r="B63" s="20" t="s">
        <v>156</v>
      </c>
      <c r="C63" s="12" t="s">
        <v>61</v>
      </c>
      <c r="D63" s="12" t="s">
        <v>180</v>
      </c>
      <c r="E63" s="14"/>
      <c r="F63" s="14"/>
      <c r="G63" s="15"/>
      <c r="H63" s="16"/>
      <c r="I63" s="17"/>
      <c r="J63" s="18"/>
    </row>
    <row r="64" customFormat="false" ht="23.85" hidden="false" customHeight="false" outlineLevel="0" collapsed="false">
      <c r="A64" s="12" t="s">
        <v>181</v>
      </c>
      <c r="B64" s="20" t="s">
        <v>156</v>
      </c>
      <c r="C64" s="12" t="s">
        <v>163</v>
      </c>
      <c r="D64" s="12" t="s">
        <v>182</v>
      </c>
      <c r="E64" s="14"/>
      <c r="F64" s="14"/>
      <c r="G64" s="15"/>
      <c r="H64" s="16"/>
      <c r="I64" s="17"/>
      <c r="J64" s="18"/>
    </row>
    <row r="65" customFormat="false" ht="23.85" hidden="false" customHeight="false" outlineLevel="0" collapsed="false">
      <c r="A65" s="12" t="s">
        <v>183</v>
      </c>
      <c r="B65" s="20" t="s">
        <v>156</v>
      </c>
      <c r="C65" s="12" t="s">
        <v>50</v>
      </c>
      <c r="D65" s="12" t="s">
        <v>184</v>
      </c>
      <c r="E65" s="14"/>
      <c r="F65" s="14"/>
      <c r="G65" s="15"/>
      <c r="H65" s="16"/>
      <c r="I65" s="17"/>
      <c r="J65" s="18"/>
    </row>
    <row r="66" customFormat="false" ht="23.85" hidden="false" customHeight="false" outlineLevel="0" collapsed="false">
      <c r="A66" s="12" t="s">
        <v>185</v>
      </c>
      <c r="B66" s="20" t="s">
        <v>156</v>
      </c>
      <c r="C66" s="12" t="s">
        <v>47</v>
      </c>
      <c r="D66" s="12" t="s">
        <v>186</v>
      </c>
      <c r="E66" s="14"/>
      <c r="F66" s="14"/>
      <c r="G66" s="15"/>
      <c r="H66" s="16"/>
      <c r="I66" s="17"/>
      <c r="J66" s="18"/>
    </row>
    <row r="67" customFormat="false" ht="23.85" hidden="false" customHeight="false" outlineLevel="0" collapsed="false">
      <c r="A67" s="12" t="s">
        <v>187</v>
      </c>
      <c r="B67" s="20" t="s">
        <v>156</v>
      </c>
      <c r="C67" s="12" t="s">
        <v>47</v>
      </c>
      <c r="D67" s="12" t="s">
        <v>188</v>
      </c>
      <c r="E67" s="14"/>
      <c r="F67" s="14"/>
      <c r="G67" s="15"/>
      <c r="H67" s="16"/>
      <c r="I67" s="17"/>
      <c r="J67" s="18"/>
    </row>
    <row r="68" customFormat="false" ht="23.85" hidden="false" customHeight="false" outlineLevel="0" collapsed="false">
      <c r="A68" s="12" t="s">
        <v>189</v>
      </c>
      <c r="B68" s="20" t="s">
        <v>156</v>
      </c>
      <c r="C68" s="12" t="s">
        <v>55</v>
      </c>
      <c r="D68" s="12" t="s">
        <v>190</v>
      </c>
      <c r="E68" s="14"/>
      <c r="F68" s="14"/>
      <c r="G68" s="15"/>
      <c r="H68" s="16"/>
      <c r="I68" s="17"/>
      <c r="J68" s="18"/>
    </row>
    <row r="69" customFormat="false" ht="23.85" hidden="false" customHeight="false" outlineLevel="0" collapsed="false">
      <c r="A69" s="12" t="s">
        <v>191</v>
      </c>
      <c r="B69" s="20" t="s">
        <v>156</v>
      </c>
      <c r="C69" s="12" t="s">
        <v>72</v>
      </c>
      <c r="D69" s="12" t="s">
        <v>192</v>
      </c>
      <c r="E69" s="14"/>
      <c r="F69" s="14"/>
      <c r="G69" s="15"/>
      <c r="H69" s="16"/>
      <c r="I69" s="17"/>
      <c r="J69" s="18"/>
    </row>
    <row r="70" customFormat="false" ht="15" hidden="false" customHeight="false" outlineLevel="0" collapsed="false">
      <c r="A70" s="12" t="s">
        <v>193</v>
      </c>
      <c r="B70" s="20" t="s">
        <v>156</v>
      </c>
      <c r="C70" s="12" t="s">
        <v>50</v>
      </c>
      <c r="D70" s="12" t="s">
        <v>194</v>
      </c>
      <c r="E70" s="14"/>
      <c r="F70" s="14"/>
      <c r="G70" s="15"/>
      <c r="H70" s="16"/>
      <c r="I70" s="17"/>
      <c r="J70" s="18"/>
    </row>
    <row r="71" customFormat="false" ht="23.85" hidden="false" customHeight="false" outlineLevel="0" collapsed="false">
      <c r="A71" s="12" t="s">
        <v>195</v>
      </c>
      <c r="B71" s="20" t="s">
        <v>156</v>
      </c>
      <c r="C71" s="12" t="s">
        <v>163</v>
      </c>
      <c r="D71" s="12" t="s">
        <v>196</v>
      </c>
      <c r="E71" s="14"/>
      <c r="F71" s="14"/>
      <c r="G71" s="15"/>
      <c r="H71" s="16"/>
      <c r="I71" s="17"/>
      <c r="J71" s="18"/>
    </row>
    <row r="72" customFormat="false" ht="23.85" hidden="false" customHeight="false" outlineLevel="0" collapsed="false">
      <c r="A72" s="12" t="s">
        <v>197</v>
      </c>
      <c r="B72" s="20" t="s">
        <v>156</v>
      </c>
      <c r="C72" s="12" t="s">
        <v>61</v>
      </c>
      <c r="D72" s="12" t="s">
        <v>198</v>
      </c>
      <c r="E72" s="14"/>
      <c r="F72" s="14"/>
      <c r="G72" s="15"/>
      <c r="H72" s="16"/>
      <c r="I72" s="17"/>
      <c r="J72" s="18"/>
    </row>
    <row r="73" customFormat="false" ht="23.85" hidden="false" customHeight="false" outlineLevel="0" collapsed="false">
      <c r="A73" s="12" t="s">
        <v>199</v>
      </c>
      <c r="B73" s="20" t="s">
        <v>156</v>
      </c>
      <c r="C73" s="12" t="s">
        <v>163</v>
      </c>
      <c r="D73" s="12" t="s">
        <v>200</v>
      </c>
      <c r="E73" s="14"/>
      <c r="F73" s="14"/>
      <c r="G73" s="15"/>
      <c r="H73" s="16"/>
      <c r="I73" s="17"/>
      <c r="J73" s="18"/>
    </row>
    <row r="74" customFormat="false" ht="23.85" hidden="false" customHeight="false" outlineLevel="0" collapsed="false">
      <c r="A74" s="12" t="s">
        <v>201</v>
      </c>
      <c r="B74" s="20" t="s">
        <v>156</v>
      </c>
      <c r="C74" s="12" t="s">
        <v>50</v>
      </c>
      <c r="D74" s="12" t="s">
        <v>202</v>
      </c>
      <c r="E74" s="14"/>
      <c r="F74" s="14"/>
      <c r="G74" s="15"/>
      <c r="H74" s="16"/>
      <c r="I74" s="17"/>
      <c r="J74" s="18"/>
    </row>
    <row r="75" customFormat="false" ht="15" hidden="false" customHeight="false" outlineLevel="0" collapsed="false">
      <c r="A75" s="12" t="s">
        <v>203</v>
      </c>
      <c r="B75" s="20" t="s">
        <v>156</v>
      </c>
      <c r="C75" s="12" t="s">
        <v>64</v>
      </c>
      <c r="D75" s="12" t="s">
        <v>204</v>
      </c>
      <c r="E75" s="14"/>
      <c r="F75" s="14"/>
      <c r="G75" s="15"/>
      <c r="H75" s="16"/>
      <c r="I75" s="17"/>
      <c r="J75" s="18"/>
    </row>
    <row r="76" customFormat="false" ht="23.85" hidden="false" customHeight="false" outlineLevel="0" collapsed="false">
      <c r="A76" s="12" t="s">
        <v>205</v>
      </c>
      <c r="B76" s="20" t="s">
        <v>156</v>
      </c>
      <c r="C76" s="12" t="s">
        <v>163</v>
      </c>
      <c r="D76" s="12" t="s">
        <v>206</v>
      </c>
      <c r="E76" s="14"/>
      <c r="F76" s="14"/>
      <c r="G76" s="15"/>
      <c r="H76" s="16"/>
      <c r="I76" s="17"/>
      <c r="J76" s="18"/>
    </row>
    <row r="77" customFormat="false" ht="23.85" hidden="false" customHeight="false" outlineLevel="0" collapsed="false">
      <c r="A77" s="12" t="s">
        <v>207</v>
      </c>
      <c r="B77" s="21" t="s">
        <v>208</v>
      </c>
      <c r="C77" s="12" t="s">
        <v>47</v>
      </c>
      <c r="D77" s="12" t="s">
        <v>209</v>
      </c>
      <c r="E77" s="14"/>
      <c r="F77" s="14"/>
      <c r="G77" s="15"/>
      <c r="H77" s="16"/>
      <c r="I77" s="17"/>
      <c r="J77" s="18"/>
    </row>
    <row r="78" customFormat="false" ht="23.85" hidden="false" customHeight="false" outlineLevel="0" collapsed="false">
      <c r="A78" s="12" t="s">
        <v>210</v>
      </c>
      <c r="B78" s="21" t="s">
        <v>208</v>
      </c>
      <c r="C78" s="12" t="s">
        <v>58</v>
      </c>
      <c r="D78" s="12" t="s">
        <v>211</v>
      </c>
      <c r="E78" s="14"/>
      <c r="F78" s="14"/>
      <c r="G78" s="15"/>
      <c r="H78" s="16"/>
      <c r="I78" s="17"/>
      <c r="J78" s="18"/>
    </row>
    <row r="79" customFormat="false" ht="23.85" hidden="false" customHeight="false" outlineLevel="0" collapsed="false">
      <c r="A79" s="12" t="s">
        <v>212</v>
      </c>
      <c r="B79" s="21" t="s">
        <v>208</v>
      </c>
      <c r="C79" s="12" t="s">
        <v>47</v>
      </c>
      <c r="D79" s="12" t="s">
        <v>213</v>
      </c>
      <c r="E79" s="14"/>
      <c r="F79" s="14"/>
      <c r="G79" s="15"/>
      <c r="H79" s="16"/>
      <c r="I79" s="17"/>
      <c r="J79" s="18"/>
    </row>
    <row r="80" customFormat="false" ht="23.85" hidden="false" customHeight="false" outlineLevel="0" collapsed="false">
      <c r="A80" s="12" t="s">
        <v>214</v>
      </c>
      <c r="B80" s="21" t="s">
        <v>208</v>
      </c>
      <c r="C80" s="12" t="s">
        <v>163</v>
      </c>
      <c r="D80" s="12" t="s">
        <v>215</v>
      </c>
      <c r="E80" s="14"/>
      <c r="F80" s="14"/>
      <c r="G80" s="15"/>
      <c r="H80" s="16"/>
      <c r="I80" s="17"/>
      <c r="J80" s="18"/>
    </row>
    <row r="81" customFormat="false" ht="23.85" hidden="false" customHeight="false" outlineLevel="0" collapsed="false">
      <c r="A81" s="12" t="s">
        <v>216</v>
      </c>
      <c r="B81" s="21" t="s">
        <v>208</v>
      </c>
      <c r="C81" s="12" t="s">
        <v>163</v>
      </c>
      <c r="D81" s="12" t="s">
        <v>217</v>
      </c>
      <c r="E81" s="14"/>
      <c r="F81" s="14"/>
      <c r="G81" s="15"/>
      <c r="H81" s="16"/>
      <c r="I81" s="17"/>
      <c r="J81" s="18"/>
    </row>
    <row r="82" customFormat="false" ht="23.85" hidden="false" customHeight="false" outlineLevel="0" collapsed="false">
      <c r="A82" s="12" t="s">
        <v>218</v>
      </c>
      <c r="B82" s="21" t="s">
        <v>208</v>
      </c>
      <c r="C82" s="12" t="s">
        <v>163</v>
      </c>
      <c r="D82" s="12" t="s">
        <v>219</v>
      </c>
      <c r="E82" s="14"/>
      <c r="F82" s="14"/>
      <c r="G82" s="15"/>
      <c r="H82" s="16"/>
      <c r="I82" s="17"/>
      <c r="J82" s="18"/>
    </row>
    <row r="83" customFormat="false" ht="23.85" hidden="false" customHeight="false" outlineLevel="0" collapsed="false">
      <c r="A83" s="12" t="s">
        <v>220</v>
      </c>
      <c r="B83" s="21" t="s">
        <v>208</v>
      </c>
      <c r="C83" s="12" t="s">
        <v>72</v>
      </c>
      <c r="D83" s="12" t="s">
        <v>221</v>
      </c>
      <c r="E83" s="14"/>
      <c r="F83" s="14"/>
      <c r="G83" s="15"/>
      <c r="H83" s="16"/>
      <c r="I83" s="17"/>
      <c r="J83" s="18"/>
    </row>
    <row r="84" customFormat="false" ht="23.85" hidden="false" customHeight="false" outlineLevel="0" collapsed="false">
      <c r="A84" s="12" t="s">
        <v>222</v>
      </c>
      <c r="B84" s="21" t="s">
        <v>208</v>
      </c>
      <c r="C84" s="12" t="s">
        <v>64</v>
      </c>
      <c r="D84" s="12" t="s">
        <v>223</v>
      </c>
      <c r="E84" s="14"/>
      <c r="F84" s="14"/>
      <c r="G84" s="15"/>
      <c r="H84" s="16"/>
      <c r="I84" s="17"/>
      <c r="J84" s="18"/>
    </row>
    <row r="85" customFormat="false" ht="23.85" hidden="false" customHeight="false" outlineLevel="0" collapsed="false">
      <c r="A85" s="12" t="s">
        <v>224</v>
      </c>
      <c r="B85" s="21" t="s">
        <v>208</v>
      </c>
      <c r="C85" s="12" t="s">
        <v>163</v>
      </c>
      <c r="D85" s="12" t="s">
        <v>225</v>
      </c>
      <c r="E85" s="14"/>
      <c r="F85" s="14"/>
      <c r="G85" s="15"/>
      <c r="H85" s="16"/>
      <c r="I85" s="17"/>
      <c r="J85" s="18"/>
    </row>
    <row r="86" customFormat="false" ht="15" hidden="false" customHeight="false" outlineLevel="0" collapsed="false">
      <c r="A86" s="12" t="s">
        <v>226</v>
      </c>
      <c r="B86" s="21" t="s">
        <v>208</v>
      </c>
      <c r="C86" s="12" t="s">
        <v>47</v>
      </c>
      <c r="D86" s="12" t="s">
        <v>227</v>
      </c>
      <c r="E86" s="14"/>
      <c r="F86" s="14"/>
      <c r="G86" s="15"/>
      <c r="H86" s="16"/>
      <c r="I86" s="17"/>
      <c r="J86" s="18"/>
    </row>
    <row r="87" customFormat="false" ht="23.85" hidden="false" customHeight="false" outlineLevel="0" collapsed="false">
      <c r="A87" s="12" t="s">
        <v>228</v>
      </c>
      <c r="B87" s="21" t="s">
        <v>208</v>
      </c>
      <c r="C87" s="12" t="s">
        <v>58</v>
      </c>
      <c r="D87" s="12" t="s">
        <v>229</v>
      </c>
      <c r="E87" s="14"/>
      <c r="F87" s="14"/>
      <c r="G87" s="15"/>
      <c r="H87" s="16"/>
      <c r="I87" s="17"/>
      <c r="J87" s="18"/>
    </row>
    <row r="88" customFormat="false" ht="23.85" hidden="false" customHeight="false" outlineLevel="0" collapsed="false">
      <c r="A88" s="12" t="s">
        <v>230</v>
      </c>
      <c r="B88" s="21" t="s">
        <v>208</v>
      </c>
      <c r="C88" s="12" t="s">
        <v>55</v>
      </c>
      <c r="D88" s="12" t="s">
        <v>231</v>
      </c>
      <c r="E88" s="14"/>
      <c r="F88" s="14"/>
      <c r="G88" s="15"/>
      <c r="H88" s="16"/>
      <c r="I88" s="17"/>
      <c r="J88" s="18"/>
    </row>
    <row r="89" customFormat="false" ht="23.85" hidden="false" customHeight="false" outlineLevel="0" collapsed="false">
      <c r="A89" s="12" t="s">
        <v>232</v>
      </c>
      <c r="B89" s="21" t="s">
        <v>208</v>
      </c>
      <c r="C89" s="12" t="s">
        <v>163</v>
      </c>
      <c r="D89" s="12" t="s">
        <v>233</v>
      </c>
      <c r="E89" s="14"/>
      <c r="F89" s="14"/>
      <c r="G89" s="15"/>
      <c r="H89" s="16"/>
      <c r="I89" s="17"/>
      <c r="J89" s="18"/>
    </row>
    <row r="90" customFormat="false" ht="23.85" hidden="false" customHeight="false" outlineLevel="0" collapsed="false">
      <c r="A90" s="12" t="s">
        <v>234</v>
      </c>
      <c r="B90" s="21" t="s">
        <v>208</v>
      </c>
      <c r="C90" s="12" t="s">
        <v>163</v>
      </c>
      <c r="D90" s="12" t="s">
        <v>235</v>
      </c>
      <c r="E90" s="14"/>
      <c r="F90" s="14"/>
      <c r="G90" s="15"/>
      <c r="H90" s="16"/>
      <c r="I90" s="17"/>
      <c r="J90" s="18"/>
    </row>
    <row r="91" customFormat="false" ht="23.85" hidden="false" customHeight="false" outlineLevel="0" collapsed="false">
      <c r="A91" s="12" t="s">
        <v>236</v>
      </c>
      <c r="B91" s="21" t="s">
        <v>208</v>
      </c>
      <c r="C91" s="12" t="s">
        <v>64</v>
      </c>
      <c r="D91" s="12" t="s">
        <v>237</v>
      </c>
      <c r="E91" s="14"/>
      <c r="F91" s="14"/>
      <c r="G91" s="15"/>
      <c r="H91" s="16"/>
      <c r="I91" s="17"/>
      <c r="J91" s="18"/>
    </row>
    <row r="92" customFormat="false" ht="23.85" hidden="false" customHeight="false" outlineLevel="0" collapsed="false">
      <c r="A92" s="12" t="s">
        <v>238</v>
      </c>
      <c r="B92" s="21" t="s">
        <v>208</v>
      </c>
      <c r="C92" s="12" t="s">
        <v>47</v>
      </c>
      <c r="D92" s="12" t="s">
        <v>239</v>
      </c>
      <c r="E92" s="14"/>
      <c r="F92" s="14"/>
      <c r="G92" s="15"/>
      <c r="H92" s="16"/>
      <c r="I92" s="17"/>
      <c r="J92" s="18"/>
    </row>
    <row r="93" customFormat="false" ht="23.85" hidden="false" customHeight="false" outlineLevel="0" collapsed="false">
      <c r="A93" s="12" t="s">
        <v>240</v>
      </c>
      <c r="B93" s="21" t="s">
        <v>208</v>
      </c>
      <c r="C93" s="12" t="s">
        <v>58</v>
      </c>
      <c r="D93" s="12" t="s">
        <v>241</v>
      </c>
      <c r="E93" s="14"/>
      <c r="F93" s="14"/>
      <c r="G93" s="15"/>
      <c r="H93" s="16"/>
      <c r="I93" s="17"/>
      <c r="J93" s="18"/>
    </row>
    <row r="94" customFormat="false" ht="23.85" hidden="false" customHeight="false" outlineLevel="0" collapsed="false">
      <c r="A94" s="12" t="s">
        <v>242</v>
      </c>
      <c r="B94" s="21" t="s">
        <v>208</v>
      </c>
      <c r="C94" s="12" t="s">
        <v>61</v>
      </c>
      <c r="D94" s="12" t="s">
        <v>243</v>
      </c>
      <c r="E94" s="14"/>
      <c r="F94" s="14"/>
      <c r="G94" s="15"/>
      <c r="H94" s="16"/>
      <c r="I94" s="17"/>
      <c r="J94" s="18"/>
    </row>
    <row r="95" customFormat="false" ht="23.85" hidden="false" customHeight="false" outlineLevel="0" collapsed="false">
      <c r="A95" s="12" t="s">
        <v>244</v>
      </c>
      <c r="B95" s="21" t="s">
        <v>208</v>
      </c>
      <c r="C95" s="12" t="s">
        <v>72</v>
      </c>
      <c r="D95" s="12" t="s">
        <v>245</v>
      </c>
      <c r="E95" s="14"/>
      <c r="F95" s="14"/>
      <c r="G95" s="15"/>
      <c r="H95" s="16"/>
      <c r="I95" s="17"/>
      <c r="J95" s="18"/>
    </row>
    <row r="96" customFormat="false" ht="23.85" hidden="false" customHeight="false" outlineLevel="0" collapsed="false">
      <c r="A96" s="12" t="s">
        <v>246</v>
      </c>
      <c r="B96" s="21" t="s">
        <v>208</v>
      </c>
      <c r="C96" s="12" t="s">
        <v>163</v>
      </c>
      <c r="D96" s="12" t="s">
        <v>247</v>
      </c>
      <c r="E96" s="14"/>
      <c r="F96" s="14"/>
      <c r="G96" s="15"/>
      <c r="H96" s="16"/>
      <c r="I96" s="17"/>
      <c r="J96" s="18"/>
    </row>
    <row r="97" customFormat="false" ht="15" hidden="false" customHeight="false" outlineLevel="0" collapsed="false">
      <c r="A97" s="12" t="s">
        <v>248</v>
      </c>
      <c r="B97" s="21" t="s">
        <v>208</v>
      </c>
      <c r="C97" s="12" t="s">
        <v>47</v>
      </c>
      <c r="D97" s="12" t="s">
        <v>249</v>
      </c>
      <c r="E97" s="14"/>
      <c r="F97" s="14"/>
      <c r="G97" s="15"/>
      <c r="H97" s="16"/>
      <c r="I97" s="17"/>
      <c r="J97" s="18"/>
    </row>
    <row r="98" customFormat="false" ht="23.85" hidden="false" customHeight="false" outlineLevel="0" collapsed="false">
      <c r="A98" s="12" t="s">
        <v>250</v>
      </c>
      <c r="B98" s="21" t="s">
        <v>208</v>
      </c>
      <c r="C98" s="12" t="s">
        <v>47</v>
      </c>
      <c r="D98" s="12" t="s">
        <v>251</v>
      </c>
      <c r="E98" s="14"/>
      <c r="F98" s="14"/>
      <c r="G98" s="15"/>
      <c r="H98" s="16"/>
      <c r="I98" s="17"/>
      <c r="J98" s="18"/>
    </row>
    <row r="99" customFormat="false" ht="15" hidden="false" customHeight="false" outlineLevel="0" collapsed="false">
      <c r="A99" s="12" t="s">
        <v>252</v>
      </c>
      <c r="B99" s="21" t="s">
        <v>208</v>
      </c>
      <c r="C99" s="12" t="s">
        <v>64</v>
      </c>
      <c r="D99" s="12" t="s">
        <v>253</v>
      </c>
      <c r="E99" s="14"/>
      <c r="F99" s="14"/>
      <c r="G99" s="15"/>
      <c r="H99" s="16"/>
      <c r="I99" s="17"/>
      <c r="J99" s="18"/>
    </row>
    <row r="100" customFormat="false" ht="23.85" hidden="false" customHeight="false" outlineLevel="0" collapsed="false">
      <c r="A100" s="12" t="s">
        <v>254</v>
      </c>
      <c r="B100" s="21" t="s">
        <v>208</v>
      </c>
      <c r="C100" s="12" t="s">
        <v>163</v>
      </c>
      <c r="D100" s="12" t="s">
        <v>255</v>
      </c>
      <c r="E100" s="14"/>
      <c r="F100" s="14"/>
      <c r="G100" s="15"/>
      <c r="H100" s="16"/>
      <c r="I100" s="17"/>
      <c r="J100" s="18"/>
    </row>
    <row r="101" customFormat="false" ht="23.85" hidden="false" customHeight="false" outlineLevel="0" collapsed="false">
      <c r="A101" s="12" t="s">
        <v>256</v>
      </c>
      <c r="B101" s="21" t="s">
        <v>208</v>
      </c>
      <c r="C101" s="12" t="s">
        <v>58</v>
      </c>
      <c r="D101" s="12" t="s">
        <v>257</v>
      </c>
      <c r="E101" s="14"/>
      <c r="F101" s="14"/>
      <c r="G101" s="15"/>
      <c r="H101" s="16"/>
      <c r="I101" s="17"/>
      <c r="J101" s="18"/>
    </row>
    <row r="102" customFormat="false" ht="23.85" hidden="false" customHeight="false" outlineLevel="0" collapsed="false">
      <c r="A102" s="12" t="s">
        <v>258</v>
      </c>
      <c r="B102" s="22" t="s">
        <v>259</v>
      </c>
      <c r="C102" s="12" t="s">
        <v>163</v>
      </c>
      <c r="D102" s="12" t="s">
        <v>260</v>
      </c>
      <c r="E102" s="14"/>
      <c r="F102" s="14"/>
      <c r="G102" s="15"/>
      <c r="H102" s="16"/>
      <c r="I102" s="17"/>
      <c r="J102" s="18"/>
    </row>
    <row r="103" customFormat="false" ht="23.85" hidden="false" customHeight="false" outlineLevel="0" collapsed="false">
      <c r="A103" s="12" t="s">
        <v>261</v>
      </c>
      <c r="B103" s="22" t="s">
        <v>259</v>
      </c>
      <c r="C103" s="12" t="s">
        <v>64</v>
      </c>
      <c r="D103" s="12" t="s">
        <v>262</v>
      </c>
      <c r="E103" s="14"/>
      <c r="F103" s="14"/>
      <c r="G103" s="15"/>
      <c r="H103" s="16"/>
      <c r="I103" s="17"/>
      <c r="J103" s="18"/>
    </row>
    <row r="104" customFormat="false" ht="23.85" hidden="false" customHeight="false" outlineLevel="0" collapsed="false">
      <c r="A104" s="12" t="s">
        <v>263</v>
      </c>
      <c r="B104" s="22" t="s">
        <v>259</v>
      </c>
      <c r="C104" s="12" t="s">
        <v>163</v>
      </c>
      <c r="D104" s="12" t="s">
        <v>264</v>
      </c>
      <c r="E104" s="14"/>
      <c r="F104" s="14"/>
      <c r="G104" s="15"/>
      <c r="H104" s="16"/>
      <c r="I104" s="17"/>
      <c r="J104" s="18"/>
    </row>
    <row r="105" customFormat="false" ht="23.85" hidden="false" customHeight="false" outlineLevel="0" collapsed="false">
      <c r="A105" s="12" t="s">
        <v>265</v>
      </c>
      <c r="B105" s="22" t="s">
        <v>259</v>
      </c>
      <c r="C105" s="12" t="s">
        <v>163</v>
      </c>
      <c r="D105" s="12" t="s">
        <v>266</v>
      </c>
      <c r="E105" s="14"/>
      <c r="F105" s="14"/>
      <c r="G105" s="15"/>
      <c r="H105" s="16"/>
      <c r="I105" s="17"/>
      <c r="J105" s="18"/>
    </row>
    <row r="106" customFormat="false" ht="23.85" hidden="false" customHeight="false" outlineLevel="0" collapsed="false">
      <c r="A106" s="12" t="s">
        <v>267</v>
      </c>
      <c r="B106" s="22" t="s">
        <v>259</v>
      </c>
      <c r="C106" s="12" t="s">
        <v>47</v>
      </c>
      <c r="D106" s="12" t="s">
        <v>268</v>
      </c>
      <c r="E106" s="14"/>
      <c r="F106" s="14"/>
      <c r="G106" s="15"/>
      <c r="H106" s="16"/>
      <c r="I106" s="17"/>
      <c r="J106" s="18"/>
    </row>
    <row r="107" customFormat="false" ht="15" hidden="false" customHeight="false" outlineLevel="0" collapsed="false">
      <c r="A107" s="12" t="s">
        <v>269</v>
      </c>
      <c r="B107" s="22" t="s">
        <v>259</v>
      </c>
      <c r="C107" s="12" t="s">
        <v>67</v>
      </c>
      <c r="D107" s="12" t="s">
        <v>270</v>
      </c>
      <c r="E107" s="14"/>
      <c r="F107" s="14"/>
      <c r="G107" s="15"/>
      <c r="H107" s="16"/>
      <c r="I107" s="17"/>
      <c r="J107" s="18"/>
    </row>
    <row r="108" customFormat="false" ht="23.85" hidden="false" customHeight="false" outlineLevel="0" collapsed="false">
      <c r="A108" s="12" t="s">
        <v>271</v>
      </c>
      <c r="B108" s="22" t="s">
        <v>259</v>
      </c>
      <c r="C108" s="12" t="s">
        <v>55</v>
      </c>
      <c r="D108" s="12" t="s">
        <v>272</v>
      </c>
      <c r="E108" s="14"/>
      <c r="F108" s="14"/>
      <c r="G108" s="15"/>
      <c r="H108" s="16"/>
      <c r="I108" s="17"/>
      <c r="J108" s="18"/>
    </row>
    <row r="109" customFormat="false" ht="15" hidden="false" customHeight="false" outlineLevel="0" collapsed="false">
      <c r="A109" s="12" t="s">
        <v>273</v>
      </c>
      <c r="B109" s="22" t="s">
        <v>259</v>
      </c>
      <c r="C109" s="12" t="s">
        <v>64</v>
      </c>
      <c r="D109" s="12" t="s">
        <v>274</v>
      </c>
      <c r="E109" s="14"/>
      <c r="F109" s="14"/>
      <c r="G109" s="15"/>
      <c r="H109" s="16"/>
      <c r="I109" s="17"/>
      <c r="J109" s="18"/>
    </row>
    <row r="110" customFormat="false" ht="23.85" hidden="false" customHeight="false" outlineLevel="0" collapsed="false">
      <c r="A110" s="12" t="s">
        <v>275</v>
      </c>
      <c r="B110" s="22" t="s">
        <v>259</v>
      </c>
      <c r="C110" s="12" t="s">
        <v>72</v>
      </c>
      <c r="D110" s="12" t="s">
        <v>276</v>
      </c>
      <c r="E110" s="14"/>
      <c r="F110" s="14"/>
      <c r="G110" s="15"/>
      <c r="H110" s="16"/>
      <c r="I110" s="17"/>
      <c r="J110" s="18"/>
    </row>
    <row r="111" customFormat="false" ht="23.85" hidden="false" customHeight="false" outlineLevel="0" collapsed="false">
      <c r="A111" s="12" t="s">
        <v>277</v>
      </c>
      <c r="B111" s="22" t="s">
        <v>259</v>
      </c>
      <c r="C111" s="12" t="s">
        <v>55</v>
      </c>
      <c r="D111" s="12" t="s">
        <v>278</v>
      </c>
      <c r="E111" s="14"/>
      <c r="F111" s="14"/>
      <c r="G111" s="15"/>
      <c r="H111" s="16"/>
      <c r="I111" s="17"/>
      <c r="J111" s="18"/>
    </row>
    <row r="112" customFormat="false" ht="23.85" hidden="false" customHeight="false" outlineLevel="0" collapsed="false">
      <c r="A112" s="12" t="s">
        <v>279</v>
      </c>
      <c r="B112" s="22" t="s">
        <v>259</v>
      </c>
      <c r="C112" s="12" t="s">
        <v>58</v>
      </c>
      <c r="D112" s="12" t="s">
        <v>280</v>
      </c>
      <c r="E112" s="14"/>
      <c r="F112" s="14"/>
      <c r="G112" s="15"/>
      <c r="H112" s="16"/>
      <c r="I112" s="17"/>
      <c r="J112" s="18"/>
    </row>
    <row r="113" customFormat="false" ht="23.85" hidden="false" customHeight="false" outlineLevel="0" collapsed="false">
      <c r="A113" s="12" t="s">
        <v>281</v>
      </c>
      <c r="B113" s="22" t="s">
        <v>259</v>
      </c>
      <c r="C113" s="12" t="s">
        <v>50</v>
      </c>
      <c r="D113" s="12" t="s">
        <v>282</v>
      </c>
      <c r="E113" s="14"/>
      <c r="F113" s="14"/>
      <c r="G113" s="15"/>
      <c r="H113" s="16"/>
      <c r="I113" s="17"/>
      <c r="J113" s="18"/>
    </row>
    <row r="114" customFormat="false" ht="23.85" hidden="false" customHeight="false" outlineLevel="0" collapsed="false">
      <c r="A114" s="12" t="s">
        <v>283</v>
      </c>
      <c r="B114" s="22" t="s">
        <v>259</v>
      </c>
      <c r="C114" s="12" t="s">
        <v>163</v>
      </c>
      <c r="D114" s="12" t="s">
        <v>284</v>
      </c>
      <c r="E114" s="14"/>
      <c r="F114" s="14"/>
      <c r="G114" s="15"/>
      <c r="H114" s="16"/>
      <c r="I114" s="17"/>
      <c r="J114" s="18"/>
    </row>
    <row r="115" customFormat="false" ht="23.85" hidden="false" customHeight="false" outlineLevel="0" collapsed="false">
      <c r="A115" s="12" t="s">
        <v>285</v>
      </c>
      <c r="B115" s="22" t="s">
        <v>259</v>
      </c>
      <c r="C115" s="12" t="s">
        <v>163</v>
      </c>
      <c r="D115" s="12" t="s">
        <v>286</v>
      </c>
      <c r="E115" s="14"/>
      <c r="F115" s="14"/>
      <c r="G115" s="15"/>
      <c r="H115" s="16"/>
      <c r="I115" s="17"/>
      <c r="J115" s="18"/>
    </row>
    <row r="116" customFormat="false" ht="23.85" hidden="false" customHeight="false" outlineLevel="0" collapsed="false">
      <c r="A116" s="12" t="s">
        <v>287</v>
      </c>
      <c r="B116" s="22" t="s">
        <v>259</v>
      </c>
      <c r="C116" s="12" t="s">
        <v>58</v>
      </c>
      <c r="D116" s="12" t="s">
        <v>288</v>
      </c>
      <c r="E116" s="14"/>
      <c r="F116" s="14"/>
      <c r="G116" s="15"/>
      <c r="H116" s="16"/>
      <c r="I116" s="17"/>
      <c r="J116" s="18"/>
    </row>
    <row r="117" customFormat="false" ht="23.85" hidden="false" customHeight="false" outlineLevel="0" collapsed="false">
      <c r="A117" s="12" t="s">
        <v>289</v>
      </c>
      <c r="B117" s="22" t="s">
        <v>259</v>
      </c>
      <c r="C117" s="12" t="s">
        <v>55</v>
      </c>
      <c r="D117" s="12" t="s">
        <v>290</v>
      </c>
      <c r="E117" s="14"/>
      <c r="F117" s="14"/>
      <c r="G117" s="15"/>
      <c r="H117" s="16"/>
      <c r="I117" s="17"/>
      <c r="J117" s="18"/>
    </row>
    <row r="118" customFormat="false" ht="15" hidden="false" customHeight="false" outlineLevel="0" collapsed="false">
      <c r="A118" s="12" t="s">
        <v>291</v>
      </c>
      <c r="B118" s="22" t="s">
        <v>259</v>
      </c>
      <c r="C118" s="12" t="s">
        <v>50</v>
      </c>
      <c r="D118" s="12" t="s">
        <v>292</v>
      </c>
      <c r="E118" s="14"/>
      <c r="F118" s="14"/>
      <c r="G118" s="15"/>
      <c r="H118" s="16"/>
      <c r="I118" s="17"/>
      <c r="J118" s="18"/>
    </row>
    <row r="119" customFormat="false" ht="23.85" hidden="false" customHeight="false" outlineLevel="0" collapsed="false">
      <c r="A119" s="12" t="s">
        <v>293</v>
      </c>
      <c r="B119" s="22" t="s">
        <v>259</v>
      </c>
      <c r="C119" s="12" t="s">
        <v>58</v>
      </c>
      <c r="D119" s="12" t="s">
        <v>294</v>
      </c>
      <c r="E119" s="14"/>
      <c r="F119" s="14"/>
      <c r="G119" s="15"/>
      <c r="H119" s="16"/>
      <c r="I119" s="17"/>
      <c r="J119" s="18"/>
    </row>
    <row r="120" customFormat="false" ht="15" hidden="false" customHeight="false" outlineLevel="0" collapsed="false">
      <c r="A120" s="12" t="s">
        <v>295</v>
      </c>
      <c r="B120" s="22" t="s">
        <v>259</v>
      </c>
      <c r="C120" s="12" t="s">
        <v>47</v>
      </c>
      <c r="D120" s="12" t="s">
        <v>296</v>
      </c>
      <c r="E120" s="14"/>
      <c r="F120" s="14"/>
      <c r="G120" s="15"/>
      <c r="H120" s="16"/>
      <c r="I120" s="17"/>
      <c r="J120" s="18"/>
    </row>
    <row r="121" customFormat="false" ht="23.85" hidden="false" customHeight="false" outlineLevel="0" collapsed="false">
      <c r="A121" s="12" t="s">
        <v>297</v>
      </c>
      <c r="B121" s="22" t="s">
        <v>259</v>
      </c>
      <c r="C121" s="12" t="s">
        <v>64</v>
      </c>
      <c r="D121" s="12" t="s">
        <v>298</v>
      </c>
      <c r="E121" s="14"/>
      <c r="F121" s="14"/>
      <c r="G121" s="15"/>
      <c r="H121" s="16"/>
      <c r="I121" s="17"/>
      <c r="J121" s="18"/>
    </row>
    <row r="122" customFormat="false" ht="23.85" hidden="false" customHeight="false" outlineLevel="0" collapsed="false">
      <c r="A122" s="12" t="s">
        <v>299</v>
      </c>
      <c r="B122" s="22" t="s">
        <v>259</v>
      </c>
      <c r="C122" s="12" t="s">
        <v>163</v>
      </c>
      <c r="D122" s="12" t="s">
        <v>300</v>
      </c>
      <c r="E122" s="14"/>
      <c r="F122" s="14"/>
      <c r="G122" s="15"/>
      <c r="H122" s="16"/>
      <c r="I122" s="17"/>
      <c r="J122" s="18"/>
    </row>
    <row r="123" customFormat="false" ht="23.85" hidden="false" customHeight="false" outlineLevel="0" collapsed="false">
      <c r="A123" s="12" t="s">
        <v>301</v>
      </c>
      <c r="B123" s="22" t="s">
        <v>259</v>
      </c>
      <c r="C123" s="12" t="s">
        <v>163</v>
      </c>
      <c r="D123" s="12" t="s">
        <v>302</v>
      </c>
      <c r="E123" s="14"/>
      <c r="F123" s="14"/>
      <c r="G123" s="15"/>
      <c r="H123" s="16"/>
      <c r="I123" s="17"/>
      <c r="J123" s="18"/>
    </row>
    <row r="124" customFormat="false" ht="23.85" hidden="false" customHeight="false" outlineLevel="0" collapsed="false">
      <c r="A124" s="12" t="s">
        <v>303</v>
      </c>
      <c r="B124" s="22" t="s">
        <v>259</v>
      </c>
      <c r="C124" s="12" t="s">
        <v>163</v>
      </c>
      <c r="D124" s="12" t="s">
        <v>304</v>
      </c>
      <c r="E124" s="14"/>
      <c r="F124" s="14"/>
      <c r="G124" s="15"/>
      <c r="H124" s="16"/>
      <c r="I124" s="17"/>
      <c r="J124" s="18"/>
    </row>
    <row r="125" customFormat="false" ht="15" hidden="false" customHeight="false" outlineLevel="0" collapsed="false">
      <c r="A125" s="12" t="s">
        <v>305</v>
      </c>
      <c r="B125" s="22" t="s">
        <v>259</v>
      </c>
      <c r="C125" s="12" t="s">
        <v>67</v>
      </c>
      <c r="D125" s="12" t="s">
        <v>306</v>
      </c>
      <c r="E125" s="14"/>
      <c r="F125" s="14"/>
      <c r="G125" s="15"/>
      <c r="H125" s="16"/>
      <c r="I125" s="17"/>
      <c r="J125" s="18"/>
    </row>
    <row r="126" customFormat="false" ht="15" hidden="false" customHeight="false" outlineLevel="0" collapsed="false">
      <c r="A126" s="12" t="s">
        <v>307</v>
      </c>
      <c r="B126" s="22" t="s">
        <v>259</v>
      </c>
      <c r="C126" s="12" t="s">
        <v>50</v>
      </c>
      <c r="D126" s="12" t="s">
        <v>308</v>
      </c>
      <c r="E126" s="14"/>
      <c r="F126" s="14"/>
      <c r="G126" s="15"/>
      <c r="H126" s="16"/>
      <c r="I126" s="17"/>
      <c r="J126" s="18"/>
    </row>
    <row r="127" customFormat="false" ht="23.85" hidden="false" customHeight="false" outlineLevel="0" collapsed="false">
      <c r="A127" s="12" t="s">
        <v>309</v>
      </c>
      <c r="B127" s="23" t="s">
        <v>310</v>
      </c>
      <c r="C127" s="12" t="s">
        <v>50</v>
      </c>
      <c r="D127" s="12" t="s">
        <v>311</v>
      </c>
      <c r="E127" s="14"/>
      <c r="F127" s="14"/>
      <c r="G127" s="15"/>
      <c r="H127" s="16"/>
      <c r="I127" s="17"/>
      <c r="J127" s="18"/>
    </row>
    <row r="128" customFormat="false" ht="23.85" hidden="false" customHeight="false" outlineLevel="0" collapsed="false">
      <c r="A128" s="12" t="s">
        <v>312</v>
      </c>
      <c r="B128" s="23" t="s">
        <v>310</v>
      </c>
      <c r="C128" s="12" t="s">
        <v>50</v>
      </c>
      <c r="D128" s="12" t="s">
        <v>313</v>
      </c>
      <c r="E128" s="14"/>
      <c r="F128" s="14"/>
      <c r="G128" s="15"/>
      <c r="H128" s="16"/>
      <c r="I128" s="17"/>
      <c r="J128" s="18"/>
    </row>
    <row r="129" customFormat="false" ht="23.85" hidden="false" customHeight="false" outlineLevel="0" collapsed="false">
      <c r="A129" s="12" t="s">
        <v>314</v>
      </c>
      <c r="B129" s="23" t="s">
        <v>310</v>
      </c>
      <c r="C129" s="12" t="s">
        <v>163</v>
      </c>
      <c r="D129" s="12" t="s">
        <v>315</v>
      </c>
      <c r="E129" s="14"/>
      <c r="F129" s="14"/>
      <c r="G129" s="15"/>
      <c r="H129" s="16"/>
      <c r="I129" s="17"/>
      <c r="J129" s="18"/>
    </row>
    <row r="130" customFormat="false" ht="23.85" hidden="false" customHeight="false" outlineLevel="0" collapsed="false">
      <c r="A130" s="12" t="s">
        <v>316</v>
      </c>
      <c r="B130" s="23" t="s">
        <v>310</v>
      </c>
      <c r="C130" s="12" t="s">
        <v>55</v>
      </c>
      <c r="D130" s="12" t="s">
        <v>317</v>
      </c>
      <c r="E130" s="14"/>
      <c r="F130" s="14"/>
      <c r="G130" s="15"/>
      <c r="H130" s="16"/>
      <c r="I130" s="17"/>
      <c r="J130" s="18"/>
    </row>
    <row r="131" customFormat="false" ht="23.85" hidden="false" customHeight="false" outlineLevel="0" collapsed="false">
      <c r="A131" s="12" t="s">
        <v>318</v>
      </c>
      <c r="B131" s="23" t="s">
        <v>310</v>
      </c>
      <c r="C131" s="12" t="s">
        <v>61</v>
      </c>
      <c r="D131" s="12" t="s">
        <v>319</v>
      </c>
      <c r="E131" s="14"/>
      <c r="F131" s="14"/>
      <c r="G131" s="15"/>
      <c r="H131" s="16"/>
      <c r="I131" s="17"/>
      <c r="J131" s="18"/>
    </row>
    <row r="132" customFormat="false" ht="23.85" hidden="false" customHeight="false" outlineLevel="0" collapsed="false">
      <c r="A132" s="12" t="s">
        <v>320</v>
      </c>
      <c r="B132" s="23" t="s">
        <v>310</v>
      </c>
      <c r="C132" s="12" t="s">
        <v>163</v>
      </c>
      <c r="D132" s="12" t="s">
        <v>321</v>
      </c>
      <c r="E132" s="14"/>
      <c r="F132" s="14"/>
      <c r="G132" s="15"/>
      <c r="H132" s="16"/>
      <c r="I132" s="17"/>
      <c r="J132" s="18"/>
    </row>
    <row r="133" customFormat="false" ht="23.85" hidden="false" customHeight="false" outlineLevel="0" collapsed="false">
      <c r="A133" s="12" t="s">
        <v>322</v>
      </c>
      <c r="B133" s="23" t="s">
        <v>310</v>
      </c>
      <c r="C133" s="12" t="s">
        <v>61</v>
      </c>
      <c r="D133" s="12" t="s">
        <v>323</v>
      </c>
      <c r="E133" s="14"/>
      <c r="F133" s="14"/>
      <c r="G133" s="15"/>
      <c r="H133" s="16"/>
      <c r="I133" s="17"/>
      <c r="J133" s="18"/>
    </row>
    <row r="134" customFormat="false" ht="23.85" hidden="false" customHeight="false" outlineLevel="0" collapsed="false">
      <c r="A134" s="12" t="s">
        <v>324</v>
      </c>
      <c r="B134" s="23" t="s">
        <v>310</v>
      </c>
      <c r="C134" s="12" t="s">
        <v>163</v>
      </c>
      <c r="D134" s="12" t="s">
        <v>325</v>
      </c>
      <c r="E134" s="14"/>
      <c r="F134" s="14"/>
      <c r="G134" s="15"/>
      <c r="H134" s="16"/>
      <c r="I134" s="17"/>
      <c r="J134" s="18"/>
    </row>
    <row r="135" customFormat="false" ht="23.85" hidden="false" customHeight="false" outlineLevel="0" collapsed="false">
      <c r="A135" s="12" t="s">
        <v>326</v>
      </c>
      <c r="B135" s="23" t="s">
        <v>310</v>
      </c>
      <c r="C135" s="12" t="s">
        <v>163</v>
      </c>
      <c r="D135" s="12" t="s">
        <v>327</v>
      </c>
      <c r="E135" s="14"/>
      <c r="F135" s="14"/>
      <c r="G135" s="15"/>
      <c r="H135" s="16"/>
      <c r="I135" s="17"/>
      <c r="J135" s="18"/>
    </row>
    <row r="136" customFormat="false" ht="23.85" hidden="false" customHeight="false" outlineLevel="0" collapsed="false">
      <c r="A136" s="12" t="s">
        <v>328</v>
      </c>
      <c r="B136" s="23" t="s">
        <v>310</v>
      </c>
      <c r="C136" s="12" t="s">
        <v>64</v>
      </c>
      <c r="D136" s="12" t="s">
        <v>329</v>
      </c>
      <c r="E136" s="14"/>
      <c r="F136" s="14"/>
      <c r="G136" s="15"/>
      <c r="H136" s="16"/>
      <c r="I136" s="17"/>
      <c r="J136" s="18"/>
    </row>
    <row r="137" customFormat="false" ht="23.85" hidden="false" customHeight="false" outlineLevel="0" collapsed="false">
      <c r="A137" s="12" t="s">
        <v>330</v>
      </c>
      <c r="B137" s="23" t="s">
        <v>310</v>
      </c>
      <c r="C137" s="12" t="s">
        <v>55</v>
      </c>
      <c r="D137" s="12" t="s">
        <v>331</v>
      </c>
      <c r="E137" s="14"/>
      <c r="F137" s="14"/>
      <c r="G137" s="15"/>
      <c r="H137" s="16"/>
      <c r="I137" s="17"/>
      <c r="J137" s="18"/>
    </row>
    <row r="138" customFormat="false" ht="23.85" hidden="false" customHeight="false" outlineLevel="0" collapsed="false">
      <c r="A138" s="12" t="s">
        <v>332</v>
      </c>
      <c r="B138" s="23" t="s">
        <v>310</v>
      </c>
      <c r="C138" s="12" t="s">
        <v>61</v>
      </c>
      <c r="D138" s="12" t="s">
        <v>333</v>
      </c>
      <c r="E138" s="14"/>
      <c r="F138" s="14"/>
      <c r="G138" s="15"/>
      <c r="H138" s="16"/>
      <c r="I138" s="17"/>
      <c r="J138" s="18"/>
    </row>
    <row r="139" customFormat="false" ht="23.85" hidden="false" customHeight="false" outlineLevel="0" collapsed="false">
      <c r="A139" s="12" t="s">
        <v>334</v>
      </c>
      <c r="B139" s="23" t="s">
        <v>310</v>
      </c>
      <c r="C139" s="12" t="s">
        <v>163</v>
      </c>
      <c r="D139" s="12" t="s">
        <v>335</v>
      </c>
      <c r="E139" s="14"/>
      <c r="F139" s="14"/>
      <c r="G139" s="15"/>
      <c r="H139" s="16"/>
      <c r="I139" s="17"/>
      <c r="J139" s="18"/>
    </row>
    <row r="140" customFormat="false" ht="23.85" hidden="false" customHeight="false" outlineLevel="0" collapsed="false">
      <c r="A140" s="12" t="s">
        <v>336</v>
      </c>
      <c r="B140" s="23" t="s">
        <v>310</v>
      </c>
      <c r="C140" s="12" t="s">
        <v>163</v>
      </c>
      <c r="D140" s="12" t="s">
        <v>337</v>
      </c>
      <c r="E140" s="14"/>
      <c r="F140" s="14"/>
      <c r="G140" s="15"/>
      <c r="H140" s="16"/>
      <c r="I140" s="17"/>
      <c r="J140" s="18"/>
    </row>
    <row r="141" customFormat="false" ht="23.85" hidden="false" customHeight="false" outlineLevel="0" collapsed="false">
      <c r="A141" s="12" t="s">
        <v>338</v>
      </c>
      <c r="B141" s="23" t="s">
        <v>310</v>
      </c>
      <c r="C141" s="12" t="s">
        <v>55</v>
      </c>
      <c r="D141" s="12" t="s">
        <v>339</v>
      </c>
      <c r="E141" s="14"/>
      <c r="F141" s="14"/>
      <c r="G141" s="15"/>
      <c r="H141" s="16"/>
      <c r="I141" s="17"/>
      <c r="J141" s="18"/>
    </row>
    <row r="142" customFormat="false" ht="15" hidden="false" customHeight="false" outlineLevel="0" collapsed="false">
      <c r="A142" s="12" t="s">
        <v>340</v>
      </c>
      <c r="B142" s="23" t="s">
        <v>310</v>
      </c>
      <c r="C142" s="12" t="s">
        <v>50</v>
      </c>
      <c r="D142" s="12" t="s">
        <v>341</v>
      </c>
      <c r="E142" s="14"/>
      <c r="F142" s="14"/>
      <c r="G142" s="15"/>
      <c r="H142" s="16"/>
      <c r="I142" s="17"/>
      <c r="J142" s="18"/>
    </row>
    <row r="143" customFormat="false" ht="15" hidden="false" customHeight="false" outlineLevel="0" collapsed="false">
      <c r="A143" s="12" t="s">
        <v>342</v>
      </c>
      <c r="B143" s="23" t="s">
        <v>310</v>
      </c>
      <c r="C143" s="12" t="s">
        <v>67</v>
      </c>
      <c r="D143" s="12" t="s">
        <v>343</v>
      </c>
      <c r="E143" s="14"/>
      <c r="F143" s="14"/>
      <c r="G143" s="15"/>
      <c r="H143" s="16"/>
      <c r="I143" s="17"/>
      <c r="J143" s="18"/>
    </row>
    <row r="144" customFormat="false" ht="23.85" hidden="false" customHeight="false" outlineLevel="0" collapsed="false">
      <c r="A144" s="12" t="s">
        <v>344</v>
      </c>
      <c r="B144" s="23" t="s">
        <v>310</v>
      </c>
      <c r="C144" s="12" t="s">
        <v>163</v>
      </c>
      <c r="D144" s="12" t="s">
        <v>345</v>
      </c>
      <c r="E144" s="14"/>
      <c r="F144" s="14"/>
      <c r="G144" s="15"/>
      <c r="H144" s="16"/>
      <c r="I144" s="17"/>
      <c r="J144" s="18"/>
    </row>
    <row r="145" customFormat="false" ht="23.85" hidden="false" customHeight="false" outlineLevel="0" collapsed="false">
      <c r="A145" s="12" t="s">
        <v>346</v>
      </c>
      <c r="B145" s="23" t="s">
        <v>310</v>
      </c>
      <c r="C145" s="12" t="s">
        <v>64</v>
      </c>
      <c r="D145" s="12" t="s">
        <v>347</v>
      </c>
      <c r="E145" s="14"/>
      <c r="F145" s="14"/>
      <c r="G145" s="15"/>
      <c r="H145" s="16"/>
      <c r="I145" s="17"/>
      <c r="J145" s="18"/>
    </row>
    <row r="146" customFormat="false" ht="23.85" hidden="false" customHeight="false" outlineLevel="0" collapsed="false">
      <c r="A146" s="12" t="s">
        <v>348</v>
      </c>
      <c r="B146" s="23" t="s">
        <v>310</v>
      </c>
      <c r="C146" s="12" t="s">
        <v>47</v>
      </c>
      <c r="D146" s="12" t="s">
        <v>349</v>
      </c>
      <c r="E146" s="14"/>
      <c r="F146" s="14"/>
      <c r="G146" s="15"/>
      <c r="H146" s="16"/>
      <c r="I146" s="17"/>
      <c r="J146" s="18"/>
    </row>
    <row r="147" customFormat="false" ht="23.85" hidden="false" customHeight="false" outlineLevel="0" collapsed="false">
      <c r="A147" s="12" t="s">
        <v>350</v>
      </c>
      <c r="B147" s="23" t="s">
        <v>310</v>
      </c>
      <c r="C147" s="12" t="s">
        <v>64</v>
      </c>
      <c r="D147" s="12" t="s">
        <v>351</v>
      </c>
      <c r="E147" s="14"/>
      <c r="F147" s="14"/>
      <c r="G147" s="15"/>
      <c r="H147" s="16"/>
      <c r="I147" s="17"/>
      <c r="J147" s="18"/>
    </row>
    <row r="148" customFormat="false" ht="23.85" hidden="false" customHeight="false" outlineLevel="0" collapsed="false">
      <c r="A148" s="12" t="s">
        <v>352</v>
      </c>
      <c r="B148" s="23" t="s">
        <v>310</v>
      </c>
      <c r="C148" s="12" t="s">
        <v>61</v>
      </c>
      <c r="D148" s="12" t="s">
        <v>353</v>
      </c>
      <c r="E148" s="14"/>
      <c r="F148" s="14"/>
      <c r="G148" s="15"/>
      <c r="H148" s="16"/>
      <c r="I148" s="17"/>
      <c r="J148" s="18"/>
    </row>
    <row r="149" customFormat="false" ht="23.85" hidden="false" customHeight="false" outlineLevel="0" collapsed="false">
      <c r="A149" s="12" t="s">
        <v>354</v>
      </c>
      <c r="B149" s="23" t="s">
        <v>310</v>
      </c>
      <c r="C149" s="12" t="s">
        <v>163</v>
      </c>
      <c r="D149" s="12" t="s">
        <v>355</v>
      </c>
      <c r="E149" s="14"/>
      <c r="F149" s="14"/>
      <c r="G149" s="15"/>
      <c r="H149" s="16"/>
      <c r="I149" s="17"/>
      <c r="J149" s="18"/>
    </row>
    <row r="150" customFormat="false" ht="23.85" hidden="false" customHeight="false" outlineLevel="0" collapsed="false">
      <c r="A150" s="12" t="s">
        <v>356</v>
      </c>
      <c r="B150" s="23" t="s">
        <v>310</v>
      </c>
      <c r="C150" s="12" t="s">
        <v>163</v>
      </c>
      <c r="D150" s="12" t="s">
        <v>357</v>
      </c>
      <c r="E150" s="14"/>
      <c r="F150" s="14"/>
      <c r="G150" s="15"/>
      <c r="H150" s="16"/>
      <c r="I150" s="17"/>
      <c r="J150" s="18"/>
    </row>
    <row r="151" customFormat="false" ht="23.85" hidden="false" customHeight="false" outlineLevel="0" collapsed="false">
      <c r="A151" s="12" t="s">
        <v>358</v>
      </c>
      <c r="B151" s="23" t="s">
        <v>310</v>
      </c>
      <c r="C151" s="12" t="s">
        <v>55</v>
      </c>
      <c r="D151" s="12" t="s">
        <v>359</v>
      </c>
      <c r="E151" s="14"/>
      <c r="F151" s="14"/>
      <c r="G151" s="15"/>
      <c r="H151" s="16"/>
      <c r="I151" s="17"/>
      <c r="J151" s="18"/>
    </row>
    <row r="152" customFormat="false" ht="23.85" hidden="false" customHeight="false" outlineLevel="0" collapsed="false">
      <c r="A152" s="12" t="s">
        <v>360</v>
      </c>
      <c r="B152" s="24" t="s">
        <v>361</v>
      </c>
      <c r="C152" s="12" t="s">
        <v>50</v>
      </c>
      <c r="D152" s="12" t="s">
        <v>362</v>
      </c>
      <c r="E152" s="14"/>
      <c r="F152" s="14"/>
      <c r="G152" s="15"/>
      <c r="H152" s="16"/>
      <c r="I152" s="17"/>
      <c r="J152" s="18"/>
    </row>
    <row r="153" customFormat="false" ht="23.85" hidden="false" customHeight="false" outlineLevel="0" collapsed="false">
      <c r="A153" s="12" t="s">
        <v>363</v>
      </c>
      <c r="B153" s="24" t="s">
        <v>361</v>
      </c>
      <c r="C153" s="12" t="s">
        <v>47</v>
      </c>
      <c r="D153" s="12" t="s">
        <v>364</v>
      </c>
      <c r="E153" s="14"/>
      <c r="F153" s="14"/>
      <c r="G153" s="15"/>
      <c r="H153" s="16"/>
      <c r="I153" s="17"/>
      <c r="J153" s="18"/>
    </row>
    <row r="154" customFormat="false" ht="23.85" hidden="false" customHeight="false" outlineLevel="0" collapsed="false">
      <c r="A154" s="12" t="s">
        <v>365</v>
      </c>
      <c r="B154" s="24" t="s">
        <v>361</v>
      </c>
      <c r="C154" s="12" t="s">
        <v>50</v>
      </c>
      <c r="D154" s="12" t="s">
        <v>366</v>
      </c>
      <c r="E154" s="14"/>
      <c r="F154" s="14"/>
      <c r="G154" s="15"/>
      <c r="H154" s="16"/>
      <c r="I154" s="17"/>
      <c r="J154" s="18"/>
    </row>
    <row r="155" customFormat="false" ht="23.85" hidden="false" customHeight="false" outlineLevel="0" collapsed="false">
      <c r="A155" s="12" t="s">
        <v>367</v>
      </c>
      <c r="B155" s="24" t="s">
        <v>361</v>
      </c>
      <c r="C155" s="12" t="s">
        <v>50</v>
      </c>
      <c r="D155" s="12" t="s">
        <v>368</v>
      </c>
      <c r="E155" s="14"/>
      <c r="F155" s="14"/>
      <c r="G155" s="15"/>
      <c r="H155" s="16"/>
      <c r="I155" s="17"/>
      <c r="J155" s="18"/>
    </row>
    <row r="156" customFormat="false" ht="23.85" hidden="false" customHeight="false" outlineLevel="0" collapsed="false">
      <c r="A156" s="12" t="s">
        <v>369</v>
      </c>
      <c r="B156" s="24" t="s">
        <v>361</v>
      </c>
      <c r="C156" s="12" t="s">
        <v>55</v>
      </c>
      <c r="D156" s="12" t="s">
        <v>370</v>
      </c>
      <c r="E156" s="14"/>
      <c r="F156" s="14"/>
      <c r="G156" s="15"/>
      <c r="H156" s="16"/>
      <c r="I156" s="17"/>
      <c r="J156" s="18"/>
    </row>
    <row r="157" customFormat="false" ht="23.85" hidden="false" customHeight="false" outlineLevel="0" collapsed="false">
      <c r="A157" s="12" t="s">
        <v>371</v>
      </c>
      <c r="B157" s="24" t="s">
        <v>361</v>
      </c>
      <c r="C157" s="12" t="s">
        <v>61</v>
      </c>
      <c r="D157" s="12" t="s">
        <v>372</v>
      </c>
      <c r="E157" s="14"/>
      <c r="F157" s="14"/>
      <c r="G157" s="15"/>
      <c r="H157" s="16"/>
      <c r="I157" s="17"/>
      <c r="J157" s="18"/>
    </row>
    <row r="158" customFormat="false" ht="23.85" hidden="false" customHeight="false" outlineLevel="0" collapsed="false">
      <c r="A158" s="12" t="s">
        <v>373</v>
      </c>
      <c r="B158" s="24" t="s">
        <v>361</v>
      </c>
      <c r="C158" s="12" t="s">
        <v>61</v>
      </c>
      <c r="D158" s="12" t="s">
        <v>374</v>
      </c>
      <c r="E158" s="14"/>
      <c r="F158" s="14"/>
      <c r="G158" s="15"/>
      <c r="H158" s="16"/>
      <c r="I158" s="17"/>
      <c r="J158" s="18"/>
    </row>
    <row r="159" customFormat="false" ht="23.85" hidden="false" customHeight="false" outlineLevel="0" collapsed="false">
      <c r="A159" s="12" t="s">
        <v>375</v>
      </c>
      <c r="B159" s="24" t="s">
        <v>361</v>
      </c>
      <c r="C159" s="12" t="s">
        <v>163</v>
      </c>
      <c r="D159" s="12" t="s">
        <v>376</v>
      </c>
      <c r="E159" s="14"/>
      <c r="F159" s="14"/>
      <c r="G159" s="15"/>
      <c r="H159" s="16"/>
      <c r="I159" s="17"/>
      <c r="J159" s="18"/>
    </row>
    <row r="160" customFormat="false" ht="23.85" hidden="false" customHeight="false" outlineLevel="0" collapsed="false">
      <c r="A160" s="12" t="s">
        <v>377</v>
      </c>
      <c r="B160" s="24" t="s">
        <v>361</v>
      </c>
      <c r="C160" s="12" t="s">
        <v>163</v>
      </c>
      <c r="D160" s="12" t="s">
        <v>378</v>
      </c>
      <c r="E160" s="14"/>
      <c r="F160" s="14"/>
      <c r="G160" s="15"/>
      <c r="H160" s="16"/>
      <c r="I160" s="17"/>
      <c r="J160" s="18"/>
    </row>
    <row r="161" customFormat="false" ht="15" hidden="false" customHeight="false" outlineLevel="0" collapsed="false">
      <c r="A161" s="12" t="s">
        <v>379</v>
      </c>
      <c r="B161" s="24" t="s">
        <v>361</v>
      </c>
      <c r="C161" s="12" t="s">
        <v>67</v>
      </c>
      <c r="D161" s="12" t="s">
        <v>380</v>
      </c>
      <c r="E161" s="14"/>
      <c r="F161" s="14"/>
      <c r="G161" s="15"/>
      <c r="H161" s="16"/>
      <c r="I161" s="17"/>
      <c r="J161" s="18"/>
    </row>
    <row r="162" customFormat="false" ht="23.85" hidden="false" customHeight="false" outlineLevel="0" collapsed="false">
      <c r="A162" s="12" t="s">
        <v>381</v>
      </c>
      <c r="B162" s="24" t="s">
        <v>361</v>
      </c>
      <c r="C162" s="12" t="s">
        <v>67</v>
      </c>
      <c r="D162" s="12" t="s">
        <v>382</v>
      </c>
      <c r="E162" s="14"/>
      <c r="F162" s="14"/>
      <c r="G162" s="15"/>
      <c r="H162" s="16"/>
      <c r="I162" s="17"/>
      <c r="J162" s="18"/>
    </row>
    <row r="163" customFormat="false" ht="23.85" hidden="false" customHeight="false" outlineLevel="0" collapsed="false">
      <c r="A163" s="12" t="s">
        <v>383</v>
      </c>
      <c r="B163" s="24" t="s">
        <v>361</v>
      </c>
      <c r="C163" s="12" t="s">
        <v>61</v>
      </c>
      <c r="D163" s="12" t="s">
        <v>384</v>
      </c>
      <c r="E163" s="14"/>
      <c r="F163" s="14"/>
      <c r="G163" s="15"/>
      <c r="H163" s="16"/>
      <c r="I163" s="17"/>
      <c r="J163" s="18"/>
    </row>
    <row r="164" customFormat="false" ht="23.85" hidden="false" customHeight="false" outlineLevel="0" collapsed="false">
      <c r="A164" s="12" t="s">
        <v>385</v>
      </c>
      <c r="B164" s="24" t="s">
        <v>361</v>
      </c>
      <c r="C164" s="12" t="s">
        <v>55</v>
      </c>
      <c r="D164" s="12" t="s">
        <v>386</v>
      </c>
      <c r="E164" s="14"/>
      <c r="F164" s="14"/>
      <c r="G164" s="15"/>
      <c r="H164" s="16"/>
      <c r="I164" s="17"/>
      <c r="J164" s="18"/>
    </row>
    <row r="165" customFormat="false" ht="23.85" hidden="false" customHeight="false" outlineLevel="0" collapsed="false">
      <c r="A165" s="12" t="s">
        <v>387</v>
      </c>
      <c r="B165" s="24" t="s">
        <v>361</v>
      </c>
      <c r="C165" s="12" t="s">
        <v>163</v>
      </c>
      <c r="D165" s="12" t="s">
        <v>388</v>
      </c>
      <c r="E165" s="14"/>
      <c r="F165" s="14"/>
      <c r="G165" s="15"/>
      <c r="H165" s="16"/>
      <c r="I165" s="17"/>
      <c r="J165" s="18"/>
    </row>
    <row r="166" customFormat="false" ht="23.85" hidden="false" customHeight="false" outlineLevel="0" collapsed="false">
      <c r="A166" s="12" t="s">
        <v>389</v>
      </c>
      <c r="B166" s="24" t="s">
        <v>361</v>
      </c>
      <c r="C166" s="12" t="s">
        <v>163</v>
      </c>
      <c r="D166" s="12" t="s">
        <v>390</v>
      </c>
      <c r="E166" s="14"/>
      <c r="F166" s="14"/>
      <c r="G166" s="15"/>
      <c r="H166" s="16"/>
      <c r="I166" s="17"/>
      <c r="J166" s="18"/>
    </row>
    <row r="167" customFormat="false" ht="23.85" hidden="false" customHeight="false" outlineLevel="0" collapsed="false">
      <c r="A167" s="12" t="s">
        <v>391</v>
      </c>
      <c r="B167" s="24" t="s">
        <v>361</v>
      </c>
      <c r="C167" s="12" t="s">
        <v>47</v>
      </c>
      <c r="D167" s="12" t="s">
        <v>392</v>
      </c>
      <c r="E167" s="14"/>
      <c r="F167" s="14"/>
      <c r="G167" s="15"/>
      <c r="H167" s="16"/>
      <c r="I167" s="17"/>
      <c r="J167" s="18"/>
    </row>
    <row r="168" customFormat="false" ht="23.85" hidden="false" customHeight="false" outlineLevel="0" collapsed="false">
      <c r="A168" s="12" t="s">
        <v>393</v>
      </c>
      <c r="B168" s="24" t="s">
        <v>361</v>
      </c>
      <c r="C168" s="12" t="s">
        <v>61</v>
      </c>
      <c r="D168" s="12" t="s">
        <v>394</v>
      </c>
      <c r="E168" s="14"/>
      <c r="F168" s="14"/>
      <c r="G168" s="15"/>
      <c r="H168" s="16"/>
      <c r="I168" s="17"/>
      <c r="J168" s="18"/>
    </row>
    <row r="169" customFormat="false" ht="15" hidden="false" customHeight="false" outlineLevel="0" collapsed="false">
      <c r="A169" s="12" t="s">
        <v>395</v>
      </c>
      <c r="B169" s="24" t="s">
        <v>361</v>
      </c>
      <c r="C169" s="12" t="s">
        <v>55</v>
      </c>
      <c r="D169" s="12" t="s">
        <v>396</v>
      </c>
      <c r="E169" s="14"/>
      <c r="F169" s="14"/>
      <c r="G169" s="15"/>
      <c r="H169" s="16"/>
      <c r="I169" s="17"/>
      <c r="J169" s="18"/>
    </row>
    <row r="170" customFormat="false" ht="15" hidden="false" customHeight="false" outlineLevel="0" collapsed="false">
      <c r="A170" s="12" t="s">
        <v>397</v>
      </c>
      <c r="B170" s="24" t="s">
        <v>361</v>
      </c>
      <c r="C170" s="12" t="s">
        <v>64</v>
      </c>
      <c r="D170" s="12" t="s">
        <v>398</v>
      </c>
      <c r="E170" s="14"/>
      <c r="F170" s="14"/>
      <c r="G170" s="15"/>
      <c r="H170" s="16"/>
      <c r="I170" s="17"/>
      <c r="J170" s="18"/>
    </row>
    <row r="171" customFormat="false" ht="23.85" hidden="false" customHeight="false" outlineLevel="0" collapsed="false">
      <c r="A171" s="12" t="s">
        <v>399</v>
      </c>
      <c r="B171" s="24" t="s">
        <v>361</v>
      </c>
      <c r="C171" s="12" t="s">
        <v>163</v>
      </c>
      <c r="D171" s="12" t="s">
        <v>400</v>
      </c>
      <c r="E171" s="14"/>
      <c r="F171" s="14"/>
      <c r="G171" s="15"/>
      <c r="H171" s="16"/>
      <c r="I171" s="17"/>
      <c r="J171" s="18"/>
    </row>
    <row r="172" customFormat="false" ht="23.85" hidden="false" customHeight="false" outlineLevel="0" collapsed="false">
      <c r="A172" s="12" t="s">
        <v>401</v>
      </c>
      <c r="B172" s="24" t="s">
        <v>361</v>
      </c>
      <c r="C172" s="12" t="s">
        <v>61</v>
      </c>
      <c r="D172" s="12" t="s">
        <v>402</v>
      </c>
      <c r="E172" s="14"/>
      <c r="F172" s="14"/>
      <c r="G172" s="15"/>
      <c r="H172" s="16"/>
      <c r="I172" s="17"/>
      <c r="J172" s="18"/>
    </row>
    <row r="173" customFormat="false" ht="15" hidden="false" customHeight="false" outlineLevel="0" collapsed="false">
      <c r="A173" s="12" t="s">
        <v>403</v>
      </c>
      <c r="B173" s="24" t="s">
        <v>361</v>
      </c>
      <c r="C173" s="12" t="s">
        <v>50</v>
      </c>
      <c r="D173" s="12" t="s">
        <v>404</v>
      </c>
      <c r="E173" s="14"/>
      <c r="F173" s="14"/>
      <c r="G173" s="15"/>
      <c r="H173" s="16"/>
      <c r="I173" s="17"/>
      <c r="J173" s="18"/>
    </row>
    <row r="174" customFormat="false" ht="23.85" hidden="false" customHeight="false" outlineLevel="0" collapsed="false">
      <c r="A174" s="12" t="s">
        <v>405</v>
      </c>
      <c r="B174" s="24" t="s">
        <v>361</v>
      </c>
      <c r="C174" s="12" t="s">
        <v>64</v>
      </c>
      <c r="D174" s="12" t="s">
        <v>406</v>
      </c>
      <c r="E174" s="14"/>
      <c r="F174" s="14"/>
      <c r="G174" s="15"/>
      <c r="H174" s="16"/>
      <c r="I174" s="17"/>
      <c r="J174" s="18"/>
    </row>
    <row r="175" customFormat="false" ht="15" hidden="false" customHeight="false" outlineLevel="0" collapsed="false">
      <c r="A175" s="12" t="s">
        <v>407</v>
      </c>
      <c r="B175" s="24" t="s">
        <v>361</v>
      </c>
      <c r="C175" s="12" t="s">
        <v>50</v>
      </c>
      <c r="D175" s="12" t="s">
        <v>408</v>
      </c>
      <c r="E175" s="14"/>
      <c r="F175" s="14"/>
      <c r="G175" s="15"/>
      <c r="H175" s="16"/>
      <c r="I175" s="17"/>
      <c r="J175" s="18"/>
    </row>
    <row r="176" customFormat="false" ht="23.85" hidden="false" customHeight="false" outlineLevel="0" collapsed="false">
      <c r="A176" s="12" t="s">
        <v>409</v>
      </c>
      <c r="B176" s="24" t="s">
        <v>361</v>
      </c>
      <c r="C176" s="12" t="s">
        <v>61</v>
      </c>
      <c r="D176" s="12" t="s">
        <v>410</v>
      </c>
      <c r="E176" s="14"/>
      <c r="F176" s="14"/>
      <c r="G176" s="15"/>
      <c r="H176" s="16"/>
      <c r="I176" s="17"/>
      <c r="J176"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5"/>
    <col collapsed="false" customWidth="true" hidden="false" outlineLevel="0" max="4" min="4" style="0" width="42"/>
    <col collapsed="false" customWidth="true" hidden="false" outlineLevel="0" max="6" min="5" style="0" width="50"/>
    <col collapsed="false" customWidth="true" hidden="false" outlineLevel="0" max="8" min="7" style="0" width="22"/>
    <col collapsed="false" customWidth="true" hidden="false" outlineLevel="0" max="9" min="9" style="0" width="12"/>
    <col collapsed="false" customWidth="true" hidden="false" outlineLevel="0" max="10" min="10" style="0" width="10"/>
    <col collapsed="false" customWidth="true" hidden="false" outlineLevel="0" max="11" min="11" style="0" width="50"/>
    <col collapsed="false" customWidth="true" hidden="false" outlineLevel="0" max="13" min="12" style="0" width="12"/>
  </cols>
  <sheetData>
    <row r="1" customFormat="false" ht="33.75" hidden="false" customHeight="true" outlineLevel="0" collapsed="false">
      <c r="A1" s="11" t="s">
        <v>35</v>
      </c>
      <c r="B1" s="11" t="s">
        <v>36</v>
      </c>
      <c r="C1" s="11" t="s">
        <v>37</v>
      </c>
      <c r="D1" s="11" t="s">
        <v>38</v>
      </c>
      <c r="E1" s="11" t="s">
        <v>411</v>
      </c>
      <c r="F1" s="11" t="s">
        <v>412</v>
      </c>
      <c r="G1" s="11" t="s">
        <v>413</v>
      </c>
      <c r="H1" s="11" t="s">
        <v>414</v>
      </c>
      <c r="I1" s="11" t="s">
        <v>415</v>
      </c>
      <c r="J1" s="11" t="s">
        <v>416</v>
      </c>
      <c r="K1" s="11" t="s">
        <v>417</v>
      </c>
      <c r="L1" s="11" t="s">
        <v>418</v>
      </c>
      <c r="M1" s="11" t="s">
        <v>419</v>
      </c>
    </row>
    <row r="2" customFormat="false" ht="35.05" hidden="false" customHeight="false" outlineLevel="0" collapsed="false">
      <c r="A2" s="12" t="s">
        <v>45</v>
      </c>
      <c r="B2" s="13" t="s">
        <v>46</v>
      </c>
      <c r="C2" s="12" t="s">
        <v>47</v>
      </c>
      <c r="D2" s="12" t="s">
        <v>48</v>
      </c>
      <c r="E2" s="12" t="s">
        <v>420</v>
      </c>
      <c r="F2" s="25" t="n">
        <f aca="false">IFERROR(INDEX(ModelAnswers!$F$2:$F$176,MATCH($A2,ModelAnswers!$A$2:$A$176,0)),"")</f>
        <v>0</v>
      </c>
      <c r="G2" s="26" t="s">
        <v>421</v>
      </c>
      <c r="H2" s="27" t="n">
        <f aca="false">IFERROR(INDEX(ModelAnswers!$G$2:$G$176,MATCH($A2,ModelAnswers!$A$2:$A$176,0)),"")</f>
        <v>0</v>
      </c>
      <c r="I2" s="28" t="str">
        <f aca="false">IF($H2="","",IF(EXACT(TRIM($G2),TRIM($H2)),1,0))</f>
        <v/>
      </c>
      <c r="J2" s="29"/>
      <c r="K2" s="14"/>
      <c r="L2" s="14"/>
      <c r="M2" s="30"/>
    </row>
    <row r="3" customFormat="false" ht="46.25" hidden="false" customHeight="false" outlineLevel="0" collapsed="false">
      <c r="A3" s="12" t="s">
        <v>49</v>
      </c>
      <c r="B3" s="13" t="s">
        <v>46</v>
      </c>
      <c r="C3" s="12" t="s">
        <v>50</v>
      </c>
      <c r="D3" s="12" t="s">
        <v>51</v>
      </c>
      <c r="E3" s="12" t="s">
        <v>422</v>
      </c>
      <c r="F3" s="25" t="n">
        <f aca="false">IFERROR(INDEX(ModelAnswers!$F$2:$F$176,MATCH($A3,ModelAnswers!$A$2:$A$176,0)),"")</f>
        <v>0</v>
      </c>
      <c r="G3" s="26" t="s">
        <v>423</v>
      </c>
      <c r="H3" s="27" t="n">
        <f aca="false">IFERROR(INDEX(ModelAnswers!$G$2:$G$176,MATCH($A3,ModelAnswers!$A$2:$A$176,0)),"")</f>
        <v>0</v>
      </c>
      <c r="I3" s="28" t="str">
        <f aca="false">IF($H3="","",IF(EXACT(TRIM($G3),TRIM($H3)),1,0))</f>
        <v/>
      </c>
      <c r="J3" s="29"/>
      <c r="K3" s="14"/>
      <c r="L3" s="14"/>
      <c r="M3" s="30"/>
    </row>
    <row r="4" customFormat="false" ht="46.25" hidden="false" customHeight="false" outlineLevel="0" collapsed="false">
      <c r="A4" s="12" t="s">
        <v>52</v>
      </c>
      <c r="B4" s="13" t="s">
        <v>46</v>
      </c>
      <c r="C4" s="12" t="s">
        <v>50</v>
      </c>
      <c r="D4" s="12" t="s">
        <v>53</v>
      </c>
      <c r="E4" s="12" t="s">
        <v>424</v>
      </c>
      <c r="F4" s="25" t="n">
        <f aca="false">IFERROR(INDEX(ModelAnswers!$F$2:$F$176,MATCH($A4,ModelAnswers!$A$2:$A$176,0)),"")</f>
        <v>0</v>
      </c>
      <c r="G4" s="26" t="s">
        <v>423</v>
      </c>
      <c r="H4" s="27" t="n">
        <f aca="false">IFERROR(INDEX(ModelAnswers!$G$2:$G$176,MATCH($A4,ModelAnswers!$A$2:$A$176,0)),"")</f>
        <v>0</v>
      </c>
      <c r="I4" s="28" t="str">
        <f aca="false">IF($H4="","",IF(EXACT(TRIM($G4),TRIM($H4)),1,0))</f>
        <v/>
      </c>
      <c r="J4" s="29"/>
      <c r="K4" s="14"/>
      <c r="L4" s="14"/>
      <c r="M4" s="30"/>
    </row>
    <row r="5" customFormat="false" ht="46.25" hidden="false" customHeight="false" outlineLevel="0" collapsed="false">
      <c r="A5" s="12" t="s">
        <v>54</v>
      </c>
      <c r="B5" s="13" t="s">
        <v>46</v>
      </c>
      <c r="C5" s="12" t="s">
        <v>55</v>
      </c>
      <c r="D5" s="12" t="s">
        <v>56</v>
      </c>
      <c r="E5" s="12" t="s">
        <v>425</v>
      </c>
      <c r="F5" s="25" t="n">
        <f aca="false">IFERROR(INDEX(ModelAnswers!$F$2:$F$176,MATCH($A5,ModelAnswers!$A$2:$A$176,0)),"")</f>
        <v>0</v>
      </c>
      <c r="G5" s="26" t="s">
        <v>426</v>
      </c>
      <c r="H5" s="27" t="n">
        <f aca="false">IFERROR(INDEX(ModelAnswers!$G$2:$G$176,MATCH($A5,ModelAnswers!$A$2:$A$176,0)),"")</f>
        <v>0</v>
      </c>
      <c r="I5" s="28" t="str">
        <f aca="false">IF($H5="","",IF(EXACT(TRIM($G5),TRIM($H5)),1,0))</f>
        <v/>
      </c>
      <c r="J5" s="29"/>
      <c r="K5" s="14"/>
      <c r="L5" s="14"/>
      <c r="M5" s="30"/>
    </row>
    <row r="6" customFormat="false" ht="57.45" hidden="false" customHeight="false" outlineLevel="0" collapsed="false">
      <c r="A6" s="12" t="s">
        <v>57</v>
      </c>
      <c r="B6" s="13" t="s">
        <v>46</v>
      </c>
      <c r="C6" s="12" t="s">
        <v>58</v>
      </c>
      <c r="D6" s="12" t="s">
        <v>59</v>
      </c>
      <c r="E6" s="12" t="s">
        <v>427</v>
      </c>
      <c r="F6" s="25" t="n">
        <f aca="false">IFERROR(INDEX(ModelAnswers!$F$2:$F$176,MATCH($A6,ModelAnswers!$A$2:$A$176,0)),"")</f>
        <v>0</v>
      </c>
      <c r="G6" s="26" t="s">
        <v>428</v>
      </c>
      <c r="H6" s="27" t="n">
        <f aca="false">IFERROR(INDEX(ModelAnswers!$G$2:$G$176,MATCH($A6,ModelAnswers!$A$2:$A$176,0)),"")</f>
        <v>0</v>
      </c>
      <c r="I6" s="28" t="str">
        <f aca="false">IF($H6="","",IF(EXACT(TRIM($G6),TRIM($H6)),1,0))</f>
        <v/>
      </c>
      <c r="J6" s="29"/>
      <c r="K6" s="14"/>
      <c r="L6" s="14"/>
      <c r="M6" s="30"/>
    </row>
    <row r="7" customFormat="false" ht="35.05" hidden="false" customHeight="false" outlineLevel="0" collapsed="false">
      <c r="A7" s="12" t="s">
        <v>60</v>
      </c>
      <c r="B7" s="13" t="s">
        <v>46</v>
      </c>
      <c r="C7" s="12" t="s">
        <v>61</v>
      </c>
      <c r="D7" s="12" t="s">
        <v>62</v>
      </c>
      <c r="E7" s="12" t="s">
        <v>429</v>
      </c>
      <c r="F7" s="25" t="n">
        <f aca="false">IFERROR(INDEX(ModelAnswers!$F$2:$F$176,MATCH($A7,ModelAnswers!$A$2:$A$176,0)),"")</f>
        <v>0</v>
      </c>
      <c r="G7" s="26" t="s">
        <v>430</v>
      </c>
      <c r="H7" s="27" t="n">
        <f aca="false">IFERROR(INDEX(ModelAnswers!$G$2:$G$176,MATCH($A7,ModelAnswers!$A$2:$A$176,0)),"")</f>
        <v>0</v>
      </c>
      <c r="I7" s="28" t="str">
        <f aca="false">IF($H7="","",IF(EXACT(TRIM($G7),TRIM($H7)),1,0))</f>
        <v/>
      </c>
      <c r="J7" s="29"/>
      <c r="K7" s="14"/>
      <c r="L7" s="14"/>
      <c r="M7" s="30"/>
    </row>
    <row r="8" customFormat="false" ht="35.05" hidden="false" customHeight="false" outlineLevel="0" collapsed="false">
      <c r="A8" s="12" t="s">
        <v>63</v>
      </c>
      <c r="B8" s="13" t="s">
        <v>46</v>
      </c>
      <c r="C8" s="12" t="s">
        <v>64</v>
      </c>
      <c r="D8" s="12" t="s">
        <v>65</v>
      </c>
      <c r="E8" s="12" t="s">
        <v>431</v>
      </c>
      <c r="F8" s="25" t="n">
        <f aca="false">IFERROR(INDEX(ModelAnswers!$F$2:$F$176,MATCH($A8,ModelAnswers!$A$2:$A$176,0)),"")</f>
        <v>0</v>
      </c>
      <c r="G8" s="26" t="s">
        <v>432</v>
      </c>
      <c r="H8" s="27" t="n">
        <f aca="false">IFERROR(INDEX(ModelAnswers!$G$2:$G$176,MATCH($A8,ModelAnswers!$A$2:$A$176,0)),"")</f>
        <v>0</v>
      </c>
      <c r="I8" s="28" t="str">
        <f aca="false">IF($H8="","",IF(EXACT(TRIM($G8),TRIM($H8)),1,0))</f>
        <v/>
      </c>
      <c r="J8" s="29"/>
      <c r="K8" s="14"/>
      <c r="L8" s="14"/>
      <c r="M8" s="30"/>
    </row>
    <row r="9" customFormat="false" ht="46.25" hidden="false" customHeight="false" outlineLevel="0" collapsed="false">
      <c r="A9" s="12" t="s">
        <v>66</v>
      </c>
      <c r="B9" s="13" t="s">
        <v>46</v>
      </c>
      <c r="C9" s="12" t="s">
        <v>67</v>
      </c>
      <c r="D9" s="12" t="s">
        <v>68</v>
      </c>
      <c r="E9" s="12" t="s">
        <v>433</v>
      </c>
      <c r="F9" s="25" t="n">
        <f aca="false">IFERROR(INDEX(ModelAnswers!$F$2:$F$176,MATCH($A9,ModelAnswers!$A$2:$A$176,0)),"")</f>
        <v>0</v>
      </c>
      <c r="G9" s="26" t="s">
        <v>434</v>
      </c>
      <c r="H9" s="27" t="n">
        <f aca="false">IFERROR(INDEX(ModelAnswers!$G$2:$G$176,MATCH($A9,ModelAnswers!$A$2:$A$176,0)),"")</f>
        <v>0</v>
      </c>
      <c r="I9" s="28" t="str">
        <f aca="false">IF($H9="","",IF(EXACT(TRIM($G9),TRIM($H9)),1,0))</f>
        <v/>
      </c>
      <c r="J9" s="29"/>
      <c r="K9" s="14"/>
      <c r="L9" s="14"/>
      <c r="M9" s="30"/>
    </row>
    <row r="10" customFormat="false" ht="57.45" hidden="false" customHeight="false" outlineLevel="0" collapsed="false">
      <c r="A10" s="12" t="s">
        <v>69</v>
      </c>
      <c r="B10" s="13" t="s">
        <v>46</v>
      </c>
      <c r="C10" s="12" t="s">
        <v>47</v>
      </c>
      <c r="D10" s="12" t="s">
        <v>70</v>
      </c>
      <c r="E10" s="12" t="s">
        <v>435</v>
      </c>
      <c r="F10" s="25" t="n">
        <f aca="false">IFERROR(INDEX(ModelAnswers!$F$2:$F$176,MATCH($A10,ModelAnswers!$A$2:$A$176,0)),"")</f>
        <v>0</v>
      </c>
      <c r="G10" s="26" t="s">
        <v>421</v>
      </c>
      <c r="H10" s="27" t="n">
        <f aca="false">IFERROR(INDEX(ModelAnswers!$G$2:$G$176,MATCH($A10,ModelAnswers!$A$2:$A$176,0)),"")</f>
        <v>0</v>
      </c>
      <c r="I10" s="28" t="str">
        <f aca="false">IF($H10="","",IF(EXACT(TRIM($G10),TRIM($H10)),1,0))</f>
        <v/>
      </c>
      <c r="J10" s="29"/>
      <c r="K10" s="14"/>
      <c r="L10" s="14"/>
      <c r="M10" s="30"/>
    </row>
    <row r="11" customFormat="false" ht="35.05" hidden="false" customHeight="false" outlineLevel="0" collapsed="false">
      <c r="A11" s="12" t="s">
        <v>71</v>
      </c>
      <c r="B11" s="13" t="s">
        <v>46</v>
      </c>
      <c r="C11" s="12" t="s">
        <v>72</v>
      </c>
      <c r="D11" s="12" t="s">
        <v>73</v>
      </c>
      <c r="E11" s="12" t="s">
        <v>436</v>
      </c>
      <c r="F11" s="25" t="n">
        <f aca="false">IFERROR(INDEX(ModelAnswers!$F$2:$F$176,MATCH($A11,ModelAnswers!$A$2:$A$176,0)),"")</f>
        <v>0</v>
      </c>
      <c r="G11" s="26" t="s">
        <v>437</v>
      </c>
      <c r="H11" s="27" t="n">
        <f aca="false">IFERROR(INDEX(ModelAnswers!$G$2:$G$176,MATCH($A11,ModelAnswers!$A$2:$A$176,0)),"")</f>
        <v>0</v>
      </c>
      <c r="I11" s="28" t="str">
        <f aca="false">IF($H11="","",IF(EXACT(TRIM($G11),TRIM($H11)),1,0))</f>
        <v/>
      </c>
      <c r="J11" s="29"/>
      <c r="K11" s="14"/>
      <c r="L11" s="14"/>
      <c r="M11" s="30"/>
    </row>
    <row r="12" customFormat="false" ht="57.45" hidden="false" customHeight="false" outlineLevel="0" collapsed="false">
      <c r="A12" s="12" t="s">
        <v>74</v>
      </c>
      <c r="B12" s="13" t="s">
        <v>46</v>
      </c>
      <c r="C12" s="12" t="s">
        <v>47</v>
      </c>
      <c r="D12" s="12" t="s">
        <v>75</v>
      </c>
      <c r="E12" s="12" t="s">
        <v>438</v>
      </c>
      <c r="F12" s="25" t="n">
        <f aca="false">IFERROR(INDEX(ModelAnswers!$F$2:$F$176,MATCH($A12,ModelAnswers!$A$2:$A$176,0)),"")</f>
        <v>0</v>
      </c>
      <c r="G12" s="26" t="s">
        <v>421</v>
      </c>
      <c r="H12" s="27" t="n">
        <f aca="false">IFERROR(INDEX(ModelAnswers!$G$2:$G$176,MATCH($A12,ModelAnswers!$A$2:$A$176,0)),"")</f>
        <v>0</v>
      </c>
      <c r="I12" s="28" t="str">
        <f aca="false">IF($H12="","",IF(EXACT(TRIM($G12),TRIM($H12)),1,0))</f>
        <v/>
      </c>
      <c r="J12" s="29"/>
      <c r="K12" s="14"/>
      <c r="L12" s="14"/>
      <c r="M12" s="30"/>
    </row>
    <row r="13" customFormat="false" ht="35.05" hidden="false" customHeight="false" outlineLevel="0" collapsed="false">
      <c r="A13" s="12" t="s">
        <v>76</v>
      </c>
      <c r="B13" s="13" t="s">
        <v>46</v>
      </c>
      <c r="C13" s="12" t="s">
        <v>55</v>
      </c>
      <c r="D13" s="12" t="s">
        <v>77</v>
      </c>
      <c r="E13" s="12" t="s">
        <v>439</v>
      </c>
      <c r="F13" s="25" t="n">
        <f aca="false">IFERROR(INDEX(ModelAnswers!$F$2:$F$176,MATCH($A13,ModelAnswers!$A$2:$A$176,0)),"")</f>
        <v>0</v>
      </c>
      <c r="G13" s="26" t="s">
        <v>426</v>
      </c>
      <c r="H13" s="27" t="n">
        <f aca="false">IFERROR(INDEX(ModelAnswers!$G$2:$G$176,MATCH($A13,ModelAnswers!$A$2:$A$176,0)),"")</f>
        <v>0</v>
      </c>
      <c r="I13" s="28" t="str">
        <f aca="false">IF($H13="","",IF(EXACT(TRIM($G13),TRIM($H13)),1,0))</f>
        <v/>
      </c>
      <c r="J13" s="29"/>
      <c r="K13" s="14"/>
      <c r="L13" s="14"/>
      <c r="M13" s="30"/>
    </row>
    <row r="14" customFormat="false" ht="46.25" hidden="false" customHeight="false" outlineLevel="0" collapsed="false">
      <c r="A14" s="12" t="s">
        <v>78</v>
      </c>
      <c r="B14" s="13" t="s">
        <v>46</v>
      </c>
      <c r="C14" s="12" t="s">
        <v>61</v>
      </c>
      <c r="D14" s="12" t="s">
        <v>79</v>
      </c>
      <c r="E14" s="12" t="s">
        <v>440</v>
      </c>
      <c r="F14" s="25" t="n">
        <f aca="false">IFERROR(INDEX(ModelAnswers!$F$2:$F$176,MATCH($A14,ModelAnswers!$A$2:$A$176,0)),"")</f>
        <v>0</v>
      </c>
      <c r="G14" s="26" t="s">
        <v>430</v>
      </c>
      <c r="H14" s="27" t="n">
        <f aca="false">IFERROR(INDEX(ModelAnswers!$G$2:$G$176,MATCH($A14,ModelAnswers!$A$2:$A$176,0)),"")</f>
        <v>0</v>
      </c>
      <c r="I14" s="28" t="str">
        <f aca="false">IF($H14="","",IF(EXACT(TRIM($G14),TRIM($H14)),1,0))</f>
        <v/>
      </c>
      <c r="J14" s="29"/>
      <c r="K14" s="14"/>
      <c r="L14" s="14"/>
      <c r="M14" s="30"/>
    </row>
    <row r="15" customFormat="false" ht="57.45" hidden="false" customHeight="false" outlineLevel="0" collapsed="false">
      <c r="A15" s="12" t="s">
        <v>80</v>
      </c>
      <c r="B15" s="13" t="s">
        <v>46</v>
      </c>
      <c r="C15" s="12" t="s">
        <v>50</v>
      </c>
      <c r="D15" s="12" t="s">
        <v>81</v>
      </c>
      <c r="E15" s="12" t="s">
        <v>441</v>
      </c>
      <c r="F15" s="25" t="n">
        <f aca="false">IFERROR(INDEX(ModelAnswers!$F$2:$F$176,MATCH($A15,ModelAnswers!$A$2:$A$176,0)),"")</f>
        <v>0</v>
      </c>
      <c r="G15" s="26" t="s">
        <v>423</v>
      </c>
      <c r="H15" s="27" t="n">
        <f aca="false">IFERROR(INDEX(ModelAnswers!$G$2:$G$176,MATCH($A15,ModelAnswers!$A$2:$A$176,0)),"")</f>
        <v>0</v>
      </c>
      <c r="I15" s="28" t="str">
        <f aca="false">IF($H15="","",IF(EXACT(TRIM($G15),TRIM($H15)),1,0))</f>
        <v/>
      </c>
      <c r="J15" s="29"/>
      <c r="K15" s="14"/>
      <c r="L15" s="14"/>
      <c r="M15" s="30"/>
    </row>
    <row r="16" customFormat="false" ht="46.25" hidden="false" customHeight="false" outlineLevel="0" collapsed="false">
      <c r="A16" s="12" t="s">
        <v>82</v>
      </c>
      <c r="B16" s="13" t="s">
        <v>46</v>
      </c>
      <c r="C16" s="12" t="s">
        <v>55</v>
      </c>
      <c r="D16" s="12" t="s">
        <v>83</v>
      </c>
      <c r="E16" s="12" t="s">
        <v>442</v>
      </c>
      <c r="F16" s="25" t="n">
        <f aca="false">IFERROR(INDEX(ModelAnswers!$F$2:$F$176,MATCH($A16,ModelAnswers!$A$2:$A$176,0)),"")</f>
        <v>0</v>
      </c>
      <c r="G16" s="26" t="s">
        <v>426</v>
      </c>
      <c r="H16" s="27" t="n">
        <f aca="false">IFERROR(INDEX(ModelAnswers!$G$2:$G$176,MATCH($A16,ModelAnswers!$A$2:$A$176,0)),"")</f>
        <v>0</v>
      </c>
      <c r="I16" s="28" t="str">
        <f aca="false">IF($H16="","",IF(EXACT(TRIM($G16),TRIM($H16)),1,0))</f>
        <v/>
      </c>
      <c r="J16" s="29"/>
      <c r="K16" s="14"/>
      <c r="L16" s="14"/>
      <c r="M16" s="30"/>
    </row>
    <row r="17" customFormat="false" ht="46.25" hidden="false" customHeight="false" outlineLevel="0" collapsed="false">
      <c r="A17" s="12" t="s">
        <v>84</v>
      </c>
      <c r="B17" s="13" t="s">
        <v>46</v>
      </c>
      <c r="C17" s="12" t="s">
        <v>47</v>
      </c>
      <c r="D17" s="12" t="s">
        <v>85</v>
      </c>
      <c r="E17" s="12" t="s">
        <v>443</v>
      </c>
      <c r="F17" s="25" t="n">
        <f aca="false">IFERROR(INDEX(ModelAnswers!$F$2:$F$176,MATCH($A17,ModelAnswers!$A$2:$A$176,0)),"")</f>
        <v>0</v>
      </c>
      <c r="G17" s="26" t="s">
        <v>421</v>
      </c>
      <c r="H17" s="27" t="n">
        <f aca="false">IFERROR(INDEX(ModelAnswers!$G$2:$G$176,MATCH($A17,ModelAnswers!$A$2:$A$176,0)),"")</f>
        <v>0</v>
      </c>
      <c r="I17" s="28" t="str">
        <f aca="false">IF($H17="","",IF(EXACT(TRIM($G17),TRIM($H17)),1,0))</f>
        <v/>
      </c>
      <c r="J17" s="29"/>
      <c r="K17" s="14"/>
      <c r="L17" s="14"/>
      <c r="M17" s="30"/>
    </row>
    <row r="18" customFormat="false" ht="35.05" hidden="false" customHeight="false" outlineLevel="0" collapsed="false">
      <c r="A18" s="12" t="s">
        <v>86</v>
      </c>
      <c r="B18" s="13" t="s">
        <v>46</v>
      </c>
      <c r="C18" s="12" t="s">
        <v>64</v>
      </c>
      <c r="D18" s="12" t="s">
        <v>87</v>
      </c>
      <c r="E18" s="12" t="s">
        <v>444</v>
      </c>
      <c r="F18" s="25" t="n">
        <f aca="false">IFERROR(INDEX(ModelAnswers!$F$2:$F$176,MATCH($A18,ModelAnswers!$A$2:$A$176,0)),"")</f>
        <v>0</v>
      </c>
      <c r="G18" s="26" t="s">
        <v>432</v>
      </c>
      <c r="H18" s="27" t="n">
        <f aca="false">IFERROR(INDEX(ModelAnswers!$G$2:$G$176,MATCH($A18,ModelAnswers!$A$2:$A$176,0)),"")</f>
        <v>0</v>
      </c>
      <c r="I18" s="28" t="str">
        <f aca="false">IF($H18="","",IF(EXACT(TRIM($G18),TRIM($H18)),1,0))</f>
        <v/>
      </c>
      <c r="J18" s="29"/>
      <c r="K18" s="14"/>
      <c r="L18" s="14"/>
      <c r="M18" s="30"/>
    </row>
    <row r="19" customFormat="false" ht="46.25" hidden="false" customHeight="false" outlineLevel="0" collapsed="false">
      <c r="A19" s="12" t="s">
        <v>88</v>
      </c>
      <c r="B19" s="13" t="s">
        <v>46</v>
      </c>
      <c r="C19" s="12" t="s">
        <v>58</v>
      </c>
      <c r="D19" s="12" t="s">
        <v>89</v>
      </c>
      <c r="E19" s="12" t="s">
        <v>445</v>
      </c>
      <c r="F19" s="25" t="n">
        <f aca="false">IFERROR(INDEX(ModelAnswers!$F$2:$F$176,MATCH($A19,ModelAnswers!$A$2:$A$176,0)),"")</f>
        <v>0</v>
      </c>
      <c r="G19" s="26" t="s">
        <v>428</v>
      </c>
      <c r="H19" s="27" t="n">
        <f aca="false">IFERROR(INDEX(ModelAnswers!$G$2:$G$176,MATCH($A19,ModelAnswers!$A$2:$A$176,0)),"")</f>
        <v>0</v>
      </c>
      <c r="I19" s="28" t="str">
        <f aca="false">IF($H19="","",IF(EXACT(TRIM($G19),TRIM($H19)),1,0))</f>
        <v/>
      </c>
      <c r="J19" s="29"/>
      <c r="K19" s="14"/>
      <c r="L19" s="14"/>
      <c r="M19" s="30"/>
    </row>
    <row r="20" customFormat="false" ht="35.05" hidden="false" customHeight="false" outlineLevel="0" collapsed="false">
      <c r="A20" s="12" t="s">
        <v>90</v>
      </c>
      <c r="B20" s="13" t="s">
        <v>46</v>
      </c>
      <c r="C20" s="12" t="s">
        <v>50</v>
      </c>
      <c r="D20" s="12" t="s">
        <v>91</v>
      </c>
      <c r="E20" s="12" t="s">
        <v>446</v>
      </c>
      <c r="F20" s="25" t="n">
        <f aca="false">IFERROR(INDEX(ModelAnswers!$F$2:$F$176,MATCH($A20,ModelAnswers!$A$2:$A$176,0)),"")</f>
        <v>0</v>
      </c>
      <c r="G20" s="26" t="s">
        <v>423</v>
      </c>
      <c r="H20" s="27" t="n">
        <f aca="false">IFERROR(INDEX(ModelAnswers!$G$2:$G$176,MATCH($A20,ModelAnswers!$A$2:$A$176,0)),"")</f>
        <v>0</v>
      </c>
      <c r="I20" s="28" t="str">
        <f aca="false">IF($H20="","",IF(EXACT(TRIM($G20),TRIM($H20)),1,0))</f>
        <v/>
      </c>
      <c r="J20" s="29"/>
      <c r="K20" s="14"/>
      <c r="L20" s="14"/>
      <c r="M20" s="30"/>
    </row>
    <row r="21" customFormat="false" ht="23.85" hidden="false" customHeight="false" outlineLevel="0" collapsed="false">
      <c r="A21" s="12" t="s">
        <v>92</v>
      </c>
      <c r="B21" s="13" t="s">
        <v>46</v>
      </c>
      <c r="C21" s="12" t="s">
        <v>61</v>
      </c>
      <c r="D21" s="12" t="s">
        <v>93</v>
      </c>
      <c r="E21" s="12" t="s">
        <v>447</v>
      </c>
      <c r="F21" s="25" t="n">
        <f aca="false">IFERROR(INDEX(ModelAnswers!$F$2:$F$176,MATCH($A21,ModelAnswers!$A$2:$A$176,0)),"")</f>
        <v>0</v>
      </c>
      <c r="G21" s="26" t="s">
        <v>430</v>
      </c>
      <c r="H21" s="27" t="n">
        <f aca="false">IFERROR(INDEX(ModelAnswers!$G$2:$G$176,MATCH($A21,ModelAnswers!$A$2:$A$176,0)),"")</f>
        <v>0</v>
      </c>
      <c r="I21" s="28" t="str">
        <f aca="false">IF($H21="","",IF(EXACT(TRIM($G21),TRIM($H21)),1,0))</f>
        <v/>
      </c>
      <c r="J21" s="29"/>
      <c r="K21" s="14"/>
      <c r="L21" s="14"/>
      <c r="M21" s="30"/>
    </row>
    <row r="22" customFormat="false" ht="35.05" hidden="false" customHeight="false" outlineLevel="0" collapsed="false">
      <c r="A22" s="12" t="s">
        <v>94</v>
      </c>
      <c r="B22" s="13" t="s">
        <v>46</v>
      </c>
      <c r="C22" s="12" t="s">
        <v>47</v>
      </c>
      <c r="D22" s="12" t="s">
        <v>95</v>
      </c>
      <c r="E22" s="12" t="s">
        <v>448</v>
      </c>
      <c r="F22" s="25" t="n">
        <f aca="false">IFERROR(INDEX(ModelAnswers!$F$2:$F$176,MATCH($A22,ModelAnswers!$A$2:$A$176,0)),"")</f>
        <v>0</v>
      </c>
      <c r="G22" s="26" t="s">
        <v>421</v>
      </c>
      <c r="H22" s="27" t="n">
        <f aca="false">IFERROR(INDEX(ModelAnswers!$G$2:$G$176,MATCH($A22,ModelAnswers!$A$2:$A$176,0)),"")</f>
        <v>0</v>
      </c>
      <c r="I22" s="28" t="str">
        <f aca="false">IF($H22="","",IF(EXACT(TRIM($G22),TRIM($H22)),1,0))</f>
        <v/>
      </c>
      <c r="J22" s="29"/>
      <c r="K22" s="14"/>
      <c r="L22" s="14"/>
      <c r="M22" s="30"/>
    </row>
    <row r="23" customFormat="false" ht="23.85" hidden="false" customHeight="false" outlineLevel="0" collapsed="false">
      <c r="A23" s="12" t="s">
        <v>96</v>
      </c>
      <c r="B23" s="13" t="s">
        <v>46</v>
      </c>
      <c r="C23" s="12" t="s">
        <v>64</v>
      </c>
      <c r="D23" s="12" t="s">
        <v>97</v>
      </c>
      <c r="E23" s="12" t="s">
        <v>449</v>
      </c>
      <c r="F23" s="25" t="n">
        <f aca="false">IFERROR(INDEX(ModelAnswers!$F$2:$F$176,MATCH($A23,ModelAnswers!$A$2:$A$176,0)),"")</f>
        <v>0</v>
      </c>
      <c r="G23" s="26" t="s">
        <v>432</v>
      </c>
      <c r="H23" s="27" t="n">
        <f aca="false">IFERROR(INDEX(ModelAnswers!$G$2:$G$176,MATCH($A23,ModelAnswers!$A$2:$A$176,0)),"")</f>
        <v>0</v>
      </c>
      <c r="I23" s="28" t="str">
        <f aca="false">IF($H23="","",IF(EXACT(TRIM($G23),TRIM($H23)),1,0))</f>
        <v/>
      </c>
      <c r="J23" s="29"/>
      <c r="K23" s="14"/>
      <c r="L23" s="14"/>
      <c r="M23" s="30"/>
    </row>
    <row r="24" customFormat="false" ht="23.85" hidden="false" customHeight="false" outlineLevel="0" collapsed="false">
      <c r="A24" s="12" t="s">
        <v>98</v>
      </c>
      <c r="B24" s="13" t="s">
        <v>46</v>
      </c>
      <c r="C24" s="12" t="s">
        <v>50</v>
      </c>
      <c r="D24" s="12" t="s">
        <v>99</v>
      </c>
      <c r="E24" s="12" t="s">
        <v>450</v>
      </c>
      <c r="F24" s="25" t="n">
        <f aca="false">IFERROR(INDEX(ModelAnswers!$F$2:$F$176,MATCH($A24,ModelAnswers!$A$2:$A$176,0)),"")</f>
        <v>0</v>
      </c>
      <c r="G24" s="26" t="s">
        <v>423</v>
      </c>
      <c r="H24" s="27" t="n">
        <f aca="false">IFERROR(INDEX(ModelAnswers!$G$2:$G$176,MATCH($A24,ModelAnswers!$A$2:$A$176,0)),"")</f>
        <v>0</v>
      </c>
      <c r="I24" s="28" t="str">
        <f aca="false">IF($H24="","",IF(EXACT(TRIM($G24),TRIM($H24)),1,0))</f>
        <v/>
      </c>
      <c r="J24" s="29"/>
      <c r="K24" s="14"/>
      <c r="L24" s="14"/>
      <c r="M24" s="30"/>
    </row>
    <row r="25" customFormat="false" ht="23.85" hidden="false" customHeight="false" outlineLevel="0" collapsed="false">
      <c r="A25" s="12" t="s">
        <v>100</v>
      </c>
      <c r="B25" s="13" t="s">
        <v>46</v>
      </c>
      <c r="C25" s="12" t="s">
        <v>55</v>
      </c>
      <c r="D25" s="12" t="s">
        <v>101</v>
      </c>
      <c r="E25" s="12" t="s">
        <v>451</v>
      </c>
      <c r="F25" s="25" t="n">
        <f aca="false">IFERROR(INDEX(ModelAnswers!$F$2:$F$176,MATCH($A25,ModelAnswers!$A$2:$A$176,0)),"")</f>
        <v>0</v>
      </c>
      <c r="G25" s="26" t="s">
        <v>426</v>
      </c>
      <c r="H25" s="27" t="n">
        <f aca="false">IFERROR(INDEX(ModelAnswers!$G$2:$G$176,MATCH($A25,ModelAnswers!$A$2:$A$176,0)),"")</f>
        <v>0</v>
      </c>
      <c r="I25" s="28" t="str">
        <f aca="false">IF($H25="","",IF(EXACT(TRIM($G25),TRIM($H25)),1,0))</f>
        <v/>
      </c>
      <c r="J25" s="29"/>
      <c r="K25" s="14"/>
      <c r="L25" s="14"/>
      <c r="M25" s="30"/>
    </row>
    <row r="26" customFormat="false" ht="23.85" hidden="false" customHeight="false" outlineLevel="0" collapsed="false">
      <c r="A26" s="12" t="s">
        <v>102</v>
      </c>
      <c r="B26" s="13" t="s">
        <v>46</v>
      </c>
      <c r="C26" s="12" t="s">
        <v>72</v>
      </c>
      <c r="D26" s="12" t="s">
        <v>103</v>
      </c>
      <c r="E26" s="12" t="s">
        <v>452</v>
      </c>
      <c r="F26" s="25" t="n">
        <f aca="false">IFERROR(INDEX(ModelAnswers!$F$2:$F$176,MATCH($A26,ModelAnswers!$A$2:$A$176,0)),"")</f>
        <v>0</v>
      </c>
      <c r="G26" s="26" t="s">
        <v>437</v>
      </c>
      <c r="H26" s="27" t="n">
        <f aca="false">IFERROR(INDEX(ModelAnswers!$G$2:$G$176,MATCH($A26,ModelAnswers!$A$2:$A$176,0)),"")</f>
        <v>0</v>
      </c>
      <c r="I26" s="28" t="str">
        <f aca="false">IF($H26="","",IF(EXACT(TRIM($G26),TRIM($H26)),1,0))</f>
        <v/>
      </c>
      <c r="J26" s="29"/>
      <c r="K26" s="14"/>
      <c r="L26" s="14"/>
      <c r="M26" s="30"/>
    </row>
    <row r="27" customFormat="false" ht="46.25" hidden="false" customHeight="false" outlineLevel="0" collapsed="false">
      <c r="A27" s="12" t="s">
        <v>104</v>
      </c>
      <c r="B27" s="19" t="s">
        <v>105</v>
      </c>
      <c r="C27" s="12" t="s">
        <v>47</v>
      </c>
      <c r="D27" s="12" t="s">
        <v>106</v>
      </c>
      <c r="E27" s="12" t="s">
        <v>453</v>
      </c>
      <c r="F27" s="25" t="n">
        <f aca="false">IFERROR(INDEX(ModelAnswers!$F$2:$F$176,MATCH($A27,ModelAnswers!$A$2:$A$176,0)),"")</f>
        <v>0</v>
      </c>
      <c r="G27" s="26" t="s">
        <v>454</v>
      </c>
      <c r="H27" s="27" t="n">
        <f aca="false">IFERROR(INDEX(ModelAnswers!$G$2:$G$176,MATCH($A27,ModelAnswers!$A$2:$A$176,0)),"")</f>
        <v>0</v>
      </c>
      <c r="I27" s="28" t="str">
        <f aca="false">IF($H27="","",IF(EXACT(TRIM($G27),TRIM($H27)),1,0))</f>
        <v/>
      </c>
      <c r="J27" s="29"/>
      <c r="K27" s="14"/>
      <c r="L27" s="14"/>
      <c r="M27" s="30"/>
    </row>
    <row r="28" customFormat="false" ht="35.05" hidden="false" customHeight="false" outlineLevel="0" collapsed="false">
      <c r="A28" s="12" t="s">
        <v>107</v>
      </c>
      <c r="B28" s="19" t="s">
        <v>105</v>
      </c>
      <c r="C28" s="12" t="s">
        <v>47</v>
      </c>
      <c r="D28" s="12" t="s">
        <v>108</v>
      </c>
      <c r="E28" s="12" t="s">
        <v>455</v>
      </c>
      <c r="F28" s="25" t="n">
        <f aca="false">IFERROR(INDEX(ModelAnswers!$F$2:$F$176,MATCH($A28,ModelAnswers!$A$2:$A$176,0)),"")</f>
        <v>0</v>
      </c>
      <c r="G28" s="26" t="s">
        <v>454</v>
      </c>
      <c r="H28" s="27" t="n">
        <f aca="false">IFERROR(INDEX(ModelAnswers!$G$2:$G$176,MATCH($A28,ModelAnswers!$A$2:$A$176,0)),"")</f>
        <v>0</v>
      </c>
      <c r="I28" s="28" t="str">
        <f aca="false">IF($H28="","",IF(EXACT(TRIM($G28),TRIM($H28)),1,0))</f>
        <v/>
      </c>
      <c r="J28" s="29"/>
      <c r="K28" s="14"/>
      <c r="L28" s="14"/>
      <c r="M28" s="30"/>
    </row>
    <row r="29" customFormat="false" ht="35.05" hidden="false" customHeight="false" outlineLevel="0" collapsed="false">
      <c r="A29" s="12" t="s">
        <v>109</v>
      </c>
      <c r="B29" s="19" t="s">
        <v>105</v>
      </c>
      <c r="C29" s="12" t="s">
        <v>50</v>
      </c>
      <c r="D29" s="12" t="s">
        <v>110</v>
      </c>
      <c r="E29" s="12" t="s">
        <v>456</v>
      </c>
      <c r="F29" s="25" t="n">
        <f aca="false">IFERROR(INDEX(ModelAnswers!$F$2:$F$176,MATCH($A29,ModelAnswers!$A$2:$A$176,0)),"")</f>
        <v>0</v>
      </c>
      <c r="G29" s="26" t="s">
        <v>457</v>
      </c>
      <c r="H29" s="27" t="n">
        <f aca="false">IFERROR(INDEX(ModelAnswers!$G$2:$G$176,MATCH($A29,ModelAnswers!$A$2:$A$176,0)),"")</f>
        <v>0</v>
      </c>
      <c r="I29" s="28" t="str">
        <f aca="false">IF($H29="","",IF(EXACT(TRIM($G29),TRIM($H29)),1,0))</f>
        <v/>
      </c>
      <c r="J29" s="29"/>
      <c r="K29" s="14"/>
      <c r="L29" s="14"/>
      <c r="M29" s="30"/>
    </row>
    <row r="30" customFormat="false" ht="35.05" hidden="false" customHeight="false" outlineLevel="0" collapsed="false">
      <c r="A30" s="12" t="s">
        <v>111</v>
      </c>
      <c r="B30" s="19" t="s">
        <v>105</v>
      </c>
      <c r="C30" s="12" t="s">
        <v>55</v>
      </c>
      <c r="D30" s="12" t="s">
        <v>112</v>
      </c>
      <c r="E30" s="12" t="s">
        <v>458</v>
      </c>
      <c r="F30" s="25" t="n">
        <f aca="false">IFERROR(INDEX(ModelAnswers!$F$2:$F$176,MATCH($A30,ModelAnswers!$A$2:$A$176,0)),"")</f>
        <v>0</v>
      </c>
      <c r="G30" s="26" t="s">
        <v>459</v>
      </c>
      <c r="H30" s="27" t="n">
        <f aca="false">IFERROR(INDEX(ModelAnswers!$G$2:$G$176,MATCH($A30,ModelAnswers!$A$2:$A$176,0)),"")</f>
        <v>0</v>
      </c>
      <c r="I30" s="28" t="str">
        <f aca="false">IF($H30="","",IF(EXACT(TRIM($G30),TRIM($H30)),1,0))</f>
        <v/>
      </c>
      <c r="J30" s="29"/>
      <c r="K30" s="14"/>
      <c r="L30" s="14"/>
      <c r="M30" s="30"/>
    </row>
    <row r="31" customFormat="false" ht="46.25" hidden="false" customHeight="false" outlineLevel="0" collapsed="false">
      <c r="A31" s="12" t="s">
        <v>113</v>
      </c>
      <c r="B31" s="19" t="s">
        <v>105</v>
      </c>
      <c r="C31" s="12" t="s">
        <v>61</v>
      </c>
      <c r="D31" s="12" t="s">
        <v>114</v>
      </c>
      <c r="E31" s="12" t="s">
        <v>460</v>
      </c>
      <c r="F31" s="25" t="n">
        <f aca="false">IFERROR(INDEX(ModelAnswers!$F$2:$F$176,MATCH($A31,ModelAnswers!$A$2:$A$176,0)),"")</f>
        <v>0</v>
      </c>
      <c r="G31" s="26" t="s">
        <v>461</v>
      </c>
      <c r="H31" s="27" t="n">
        <f aca="false">IFERROR(INDEX(ModelAnswers!$G$2:$G$176,MATCH($A31,ModelAnswers!$A$2:$A$176,0)),"")</f>
        <v>0</v>
      </c>
      <c r="I31" s="28" t="str">
        <f aca="false">IF($H31="","",IF(EXACT(TRIM($G31),TRIM($H31)),1,0))</f>
        <v/>
      </c>
      <c r="J31" s="29"/>
      <c r="K31" s="14"/>
      <c r="L31" s="14"/>
      <c r="M31" s="30"/>
    </row>
    <row r="32" customFormat="false" ht="35.05" hidden="false" customHeight="false" outlineLevel="0" collapsed="false">
      <c r="A32" s="12" t="s">
        <v>115</v>
      </c>
      <c r="B32" s="19" t="s">
        <v>105</v>
      </c>
      <c r="C32" s="12" t="s">
        <v>64</v>
      </c>
      <c r="D32" s="12" t="s">
        <v>116</v>
      </c>
      <c r="E32" s="12" t="s">
        <v>462</v>
      </c>
      <c r="F32" s="25" t="n">
        <f aca="false">IFERROR(INDEX(ModelAnswers!$F$2:$F$176,MATCH($A32,ModelAnswers!$A$2:$A$176,0)),"")</f>
        <v>0</v>
      </c>
      <c r="G32" s="26" t="s">
        <v>463</v>
      </c>
      <c r="H32" s="27" t="n">
        <f aca="false">IFERROR(INDEX(ModelAnswers!$G$2:$G$176,MATCH($A32,ModelAnswers!$A$2:$A$176,0)),"")</f>
        <v>0</v>
      </c>
      <c r="I32" s="28" t="str">
        <f aca="false">IF($H32="","",IF(EXACT(TRIM($G32),TRIM($H32)),1,0))</f>
        <v/>
      </c>
      <c r="J32" s="29"/>
      <c r="K32" s="14"/>
      <c r="L32" s="14"/>
      <c r="M32" s="30"/>
    </row>
    <row r="33" customFormat="false" ht="57.45" hidden="false" customHeight="false" outlineLevel="0" collapsed="false">
      <c r="A33" s="12" t="s">
        <v>117</v>
      </c>
      <c r="B33" s="19" t="s">
        <v>105</v>
      </c>
      <c r="C33" s="12" t="s">
        <v>61</v>
      </c>
      <c r="D33" s="12" t="s">
        <v>118</v>
      </c>
      <c r="E33" s="12" t="s">
        <v>464</v>
      </c>
      <c r="F33" s="25" t="n">
        <f aca="false">IFERROR(INDEX(ModelAnswers!$F$2:$F$176,MATCH($A33,ModelAnswers!$A$2:$A$176,0)),"")</f>
        <v>0</v>
      </c>
      <c r="G33" s="26" t="s">
        <v>465</v>
      </c>
      <c r="H33" s="27" t="n">
        <f aca="false">IFERROR(INDEX(ModelAnswers!$G$2:$G$176,MATCH($A33,ModelAnswers!$A$2:$A$176,0)),"")</f>
        <v>0</v>
      </c>
      <c r="I33" s="28" t="str">
        <f aca="false">IF($H33="","",IF(EXACT(TRIM($G33),TRIM($H33)),1,0))</f>
        <v/>
      </c>
      <c r="J33" s="29"/>
      <c r="K33" s="14"/>
      <c r="L33" s="14"/>
      <c r="M33" s="30"/>
    </row>
    <row r="34" customFormat="false" ht="46.25" hidden="false" customHeight="false" outlineLevel="0" collapsed="false">
      <c r="A34" s="12" t="s">
        <v>119</v>
      </c>
      <c r="B34" s="19" t="s">
        <v>105</v>
      </c>
      <c r="C34" s="12" t="s">
        <v>67</v>
      </c>
      <c r="D34" s="12" t="s">
        <v>120</v>
      </c>
      <c r="E34" s="12" t="s">
        <v>466</v>
      </c>
      <c r="F34" s="25" t="n">
        <f aca="false">IFERROR(INDEX(ModelAnswers!$F$2:$F$176,MATCH($A34,ModelAnswers!$A$2:$A$176,0)),"")</f>
        <v>0</v>
      </c>
      <c r="G34" s="26" t="s">
        <v>467</v>
      </c>
      <c r="H34" s="27" t="n">
        <f aca="false">IFERROR(INDEX(ModelAnswers!$G$2:$G$176,MATCH($A34,ModelAnswers!$A$2:$A$176,0)),"")</f>
        <v>0</v>
      </c>
      <c r="I34" s="28" t="str">
        <f aca="false">IF($H34="","",IF(EXACT(TRIM($G34),TRIM($H34)),1,0))</f>
        <v/>
      </c>
      <c r="J34" s="29"/>
      <c r="K34" s="14"/>
      <c r="L34" s="14"/>
      <c r="M34" s="30"/>
    </row>
    <row r="35" customFormat="false" ht="57.45" hidden="false" customHeight="false" outlineLevel="0" collapsed="false">
      <c r="A35" s="12" t="s">
        <v>121</v>
      </c>
      <c r="B35" s="19" t="s">
        <v>105</v>
      </c>
      <c r="C35" s="12" t="s">
        <v>47</v>
      </c>
      <c r="D35" s="12" t="s">
        <v>122</v>
      </c>
      <c r="E35" s="12" t="s">
        <v>468</v>
      </c>
      <c r="F35" s="25" t="n">
        <f aca="false">IFERROR(INDEX(ModelAnswers!$F$2:$F$176,MATCH($A35,ModelAnswers!$A$2:$A$176,0)),"")</f>
        <v>0</v>
      </c>
      <c r="G35" s="26" t="s">
        <v>454</v>
      </c>
      <c r="H35" s="27" t="n">
        <f aca="false">IFERROR(INDEX(ModelAnswers!$G$2:$G$176,MATCH($A35,ModelAnswers!$A$2:$A$176,0)),"")</f>
        <v>0</v>
      </c>
      <c r="I35" s="28" t="str">
        <f aca="false">IF($H35="","",IF(EXACT(TRIM($G35),TRIM($H35)),1,0))</f>
        <v/>
      </c>
      <c r="J35" s="29"/>
      <c r="K35" s="14"/>
      <c r="L35" s="14"/>
      <c r="M35" s="30"/>
    </row>
    <row r="36" customFormat="false" ht="46.25" hidden="false" customHeight="false" outlineLevel="0" collapsed="false">
      <c r="A36" s="12" t="s">
        <v>123</v>
      </c>
      <c r="B36" s="19" t="s">
        <v>105</v>
      </c>
      <c r="C36" s="12" t="s">
        <v>55</v>
      </c>
      <c r="D36" s="12" t="s">
        <v>124</v>
      </c>
      <c r="E36" s="12" t="s">
        <v>469</v>
      </c>
      <c r="F36" s="25" t="n">
        <f aca="false">IFERROR(INDEX(ModelAnswers!$F$2:$F$176,MATCH($A36,ModelAnswers!$A$2:$A$176,0)),"")</f>
        <v>0</v>
      </c>
      <c r="G36" s="26" t="s">
        <v>459</v>
      </c>
      <c r="H36" s="27" t="n">
        <f aca="false">IFERROR(INDEX(ModelAnswers!$G$2:$G$176,MATCH($A36,ModelAnswers!$A$2:$A$176,0)),"")</f>
        <v>0</v>
      </c>
      <c r="I36" s="28" t="str">
        <f aca="false">IF($H36="","",IF(EXACT(TRIM($G36),TRIM($H36)),1,0))</f>
        <v/>
      </c>
      <c r="J36" s="29"/>
      <c r="K36" s="14"/>
      <c r="L36" s="14"/>
      <c r="M36" s="30"/>
    </row>
    <row r="37" customFormat="false" ht="35.05" hidden="false" customHeight="false" outlineLevel="0" collapsed="false">
      <c r="A37" s="12" t="s">
        <v>125</v>
      </c>
      <c r="B37" s="19" t="s">
        <v>105</v>
      </c>
      <c r="C37" s="12" t="s">
        <v>50</v>
      </c>
      <c r="D37" s="12" t="s">
        <v>126</v>
      </c>
      <c r="E37" s="12" t="s">
        <v>470</v>
      </c>
      <c r="F37" s="25" t="n">
        <f aca="false">IFERROR(INDEX(ModelAnswers!$F$2:$F$176,MATCH($A37,ModelAnswers!$A$2:$A$176,0)),"")</f>
        <v>0</v>
      </c>
      <c r="G37" s="26" t="s">
        <v>471</v>
      </c>
      <c r="H37" s="27" t="n">
        <f aca="false">IFERROR(INDEX(ModelAnswers!$G$2:$G$176,MATCH($A37,ModelAnswers!$A$2:$A$176,0)),"")</f>
        <v>0</v>
      </c>
      <c r="I37" s="28" t="str">
        <f aca="false">IF($H37="","",IF(EXACT(TRIM($G37),TRIM($H37)),1,0))</f>
        <v/>
      </c>
      <c r="J37" s="29"/>
      <c r="K37" s="14"/>
      <c r="L37" s="14"/>
      <c r="M37" s="30"/>
    </row>
    <row r="38" customFormat="false" ht="35.05" hidden="false" customHeight="false" outlineLevel="0" collapsed="false">
      <c r="A38" s="12" t="s">
        <v>127</v>
      </c>
      <c r="B38" s="19" t="s">
        <v>105</v>
      </c>
      <c r="C38" s="12" t="s">
        <v>50</v>
      </c>
      <c r="D38" s="12" t="s">
        <v>128</v>
      </c>
      <c r="E38" s="12" t="s">
        <v>472</v>
      </c>
      <c r="F38" s="25" t="n">
        <f aca="false">IFERROR(INDEX(ModelAnswers!$F$2:$F$176,MATCH($A38,ModelAnswers!$A$2:$A$176,0)),"")</f>
        <v>0</v>
      </c>
      <c r="G38" s="26" t="s">
        <v>457</v>
      </c>
      <c r="H38" s="27" t="n">
        <f aca="false">IFERROR(INDEX(ModelAnswers!$G$2:$G$176,MATCH($A38,ModelAnswers!$A$2:$A$176,0)),"")</f>
        <v>0</v>
      </c>
      <c r="I38" s="28" t="str">
        <f aca="false">IF($H38="","",IF(EXACT(TRIM($G38),TRIM($H38)),1,0))</f>
        <v/>
      </c>
      <c r="J38" s="29"/>
      <c r="K38" s="14"/>
      <c r="L38" s="14"/>
      <c r="M38" s="30"/>
    </row>
    <row r="39" customFormat="false" ht="35.05" hidden="false" customHeight="false" outlineLevel="0" collapsed="false">
      <c r="A39" s="12" t="s">
        <v>129</v>
      </c>
      <c r="B39" s="19" t="s">
        <v>105</v>
      </c>
      <c r="C39" s="12" t="s">
        <v>67</v>
      </c>
      <c r="D39" s="12" t="s">
        <v>130</v>
      </c>
      <c r="E39" s="12" t="s">
        <v>473</v>
      </c>
      <c r="F39" s="25" t="n">
        <f aca="false">IFERROR(INDEX(ModelAnswers!$F$2:$F$176,MATCH($A39,ModelAnswers!$A$2:$A$176,0)),"")</f>
        <v>0</v>
      </c>
      <c r="G39" s="26" t="s">
        <v>467</v>
      </c>
      <c r="H39" s="27" t="n">
        <f aca="false">IFERROR(INDEX(ModelAnswers!$G$2:$G$176,MATCH($A39,ModelAnswers!$A$2:$A$176,0)),"")</f>
        <v>0</v>
      </c>
      <c r="I39" s="28" t="str">
        <f aca="false">IF($H39="","",IF(EXACT(TRIM($G39),TRIM($H39)),1,0))</f>
        <v/>
      </c>
      <c r="J39" s="29"/>
      <c r="K39" s="14"/>
      <c r="L39" s="14"/>
      <c r="M39" s="30"/>
    </row>
    <row r="40" customFormat="false" ht="57.45" hidden="false" customHeight="false" outlineLevel="0" collapsed="false">
      <c r="A40" s="12" t="s">
        <v>131</v>
      </c>
      <c r="B40" s="19" t="s">
        <v>105</v>
      </c>
      <c r="C40" s="12" t="s">
        <v>61</v>
      </c>
      <c r="D40" s="12" t="s">
        <v>132</v>
      </c>
      <c r="E40" s="12" t="s">
        <v>474</v>
      </c>
      <c r="F40" s="25" t="n">
        <f aca="false">IFERROR(INDEX(ModelAnswers!$F$2:$F$176,MATCH($A40,ModelAnswers!$A$2:$A$176,0)),"")</f>
        <v>0</v>
      </c>
      <c r="G40" s="26" t="s">
        <v>461</v>
      </c>
      <c r="H40" s="27" t="n">
        <f aca="false">IFERROR(INDEX(ModelAnswers!$G$2:$G$176,MATCH($A40,ModelAnswers!$A$2:$A$176,0)),"")</f>
        <v>0</v>
      </c>
      <c r="I40" s="28" t="str">
        <f aca="false">IF($H40="","",IF(EXACT(TRIM($G40),TRIM($H40)),1,0))</f>
        <v/>
      </c>
      <c r="J40" s="29"/>
      <c r="K40" s="14"/>
      <c r="L40" s="14"/>
      <c r="M40" s="30"/>
    </row>
    <row r="41" customFormat="false" ht="46.25" hidden="false" customHeight="false" outlineLevel="0" collapsed="false">
      <c r="A41" s="12" t="s">
        <v>133</v>
      </c>
      <c r="B41" s="19" t="s">
        <v>105</v>
      </c>
      <c r="C41" s="12" t="s">
        <v>58</v>
      </c>
      <c r="D41" s="12" t="s">
        <v>134</v>
      </c>
      <c r="E41" s="12" t="s">
        <v>475</v>
      </c>
      <c r="F41" s="25" t="n">
        <f aca="false">IFERROR(INDEX(ModelAnswers!$F$2:$F$176,MATCH($A41,ModelAnswers!$A$2:$A$176,0)),"")</f>
        <v>0</v>
      </c>
      <c r="G41" s="26" t="s">
        <v>476</v>
      </c>
      <c r="H41" s="27" t="n">
        <f aca="false">IFERROR(INDEX(ModelAnswers!$G$2:$G$176,MATCH($A41,ModelAnswers!$A$2:$A$176,0)),"")</f>
        <v>0</v>
      </c>
      <c r="I41" s="28" t="str">
        <f aca="false">IF($H41="","",IF(EXACT(TRIM($G41),TRIM($H41)),1,0))</f>
        <v/>
      </c>
      <c r="J41" s="29"/>
      <c r="K41" s="14"/>
      <c r="L41" s="14"/>
      <c r="M41" s="30"/>
    </row>
    <row r="42" customFormat="false" ht="23.85" hidden="false" customHeight="false" outlineLevel="0" collapsed="false">
      <c r="A42" s="12" t="s">
        <v>135</v>
      </c>
      <c r="B42" s="19" t="s">
        <v>105</v>
      </c>
      <c r="C42" s="12" t="s">
        <v>47</v>
      </c>
      <c r="D42" s="12" t="s">
        <v>136</v>
      </c>
      <c r="E42" s="12" t="s">
        <v>477</v>
      </c>
      <c r="F42" s="25" t="n">
        <f aca="false">IFERROR(INDEX(ModelAnswers!$F$2:$F$176,MATCH($A42,ModelAnswers!$A$2:$A$176,0)),"")</f>
        <v>0</v>
      </c>
      <c r="G42" s="26" t="s">
        <v>454</v>
      </c>
      <c r="H42" s="27" t="n">
        <f aca="false">IFERROR(INDEX(ModelAnswers!$G$2:$G$176,MATCH($A42,ModelAnswers!$A$2:$A$176,0)),"")</f>
        <v>0</v>
      </c>
      <c r="I42" s="28" t="str">
        <f aca="false">IF($H42="","",IF(EXACT(TRIM($G42),TRIM($H42)),1,0))</f>
        <v/>
      </c>
      <c r="J42" s="29"/>
      <c r="K42" s="14"/>
      <c r="L42" s="14"/>
      <c r="M42" s="30"/>
    </row>
    <row r="43" customFormat="false" ht="35.05" hidden="false" customHeight="false" outlineLevel="0" collapsed="false">
      <c r="A43" s="12" t="s">
        <v>137</v>
      </c>
      <c r="B43" s="19" t="s">
        <v>105</v>
      </c>
      <c r="C43" s="12" t="s">
        <v>55</v>
      </c>
      <c r="D43" s="12" t="s">
        <v>138</v>
      </c>
      <c r="E43" s="12" t="s">
        <v>478</v>
      </c>
      <c r="F43" s="25" t="n">
        <f aca="false">IFERROR(INDEX(ModelAnswers!$F$2:$F$176,MATCH($A43,ModelAnswers!$A$2:$A$176,0)),"")</f>
        <v>0</v>
      </c>
      <c r="G43" s="26" t="s">
        <v>459</v>
      </c>
      <c r="H43" s="27" t="n">
        <f aca="false">IFERROR(INDEX(ModelAnswers!$G$2:$G$176,MATCH($A43,ModelAnswers!$A$2:$A$176,0)),"")</f>
        <v>0</v>
      </c>
      <c r="I43" s="28" t="str">
        <f aca="false">IF($H43="","",IF(EXACT(TRIM($G43),TRIM($H43)),1,0))</f>
        <v/>
      </c>
      <c r="J43" s="29"/>
      <c r="K43" s="14"/>
      <c r="L43" s="14"/>
      <c r="M43" s="30"/>
    </row>
    <row r="44" customFormat="false" ht="23.85" hidden="false" customHeight="false" outlineLevel="0" collapsed="false">
      <c r="A44" s="12" t="s">
        <v>139</v>
      </c>
      <c r="B44" s="19" t="s">
        <v>105</v>
      </c>
      <c r="C44" s="12" t="s">
        <v>58</v>
      </c>
      <c r="D44" s="12" t="s">
        <v>140</v>
      </c>
      <c r="E44" s="12" t="s">
        <v>479</v>
      </c>
      <c r="F44" s="25" t="n">
        <f aca="false">IFERROR(INDEX(ModelAnswers!$F$2:$F$176,MATCH($A44,ModelAnswers!$A$2:$A$176,0)),"")</f>
        <v>0</v>
      </c>
      <c r="G44" s="26" t="s">
        <v>480</v>
      </c>
      <c r="H44" s="27" t="n">
        <f aca="false">IFERROR(INDEX(ModelAnswers!$G$2:$G$176,MATCH($A44,ModelAnswers!$A$2:$A$176,0)),"")</f>
        <v>0</v>
      </c>
      <c r="I44" s="28" t="str">
        <f aca="false">IF($H44="","",IF(EXACT(TRIM($G44),TRIM($H44)),1,0))</f>
        <v/>
      </c>
      <c r="J44" s="29"/>
      <c r="K44" s="14"/>
      <c r="L44" s="14"/>
      <c r="M44" s="30"/>
    </row>
    <row r="45" customFormat="false" ht="15" hidden="false" customHeight="false" outlineLevel="0" collapsed="false">
      <c r="A45" s="12" t="s">
        <v>141</v>
      </c>
      <c r="B45" s="19" t="s">
        <v>105</v>
      </c>
      <c r="C45" s="12" t="s">
        <v>50</v>
      </c>
      <c r="D45" s="12" t="s">
        <v>142</v>
      </c>
      <c r="E45" s="12" t="s">
        <v>481</v>
      </c>
      <c r="F45" s="25" t="n">
        <f aca="false">IFERROR(INDEX(ModelAnswers!$F$2:$F$176,MATCH($A45,ModelAnswers!$A$2:$A$176,0)),"")</f>
        <v>0</v>
      </c>
      <c r="G45" s="26" t="s">
        <v>457</v>
      </c>
      <c r="H45" s="27" t="n">
        <f aca="false">IFERROR(INDEX(ModelAnswers!$G$2:$G$176,MATCH($A45,ModelAnswers!$A$2:$A$176,0)),"")</f>
        <v>0</v>
      </c>
      <c r="I45" s="28" t="str">
        <f aca="false">IF($H45="","",IF(EXACT(TRIM($G45),TRIM($H45)),1,0))</f>
        <v/>
      </c>
      <c r="J45" s="29"/>
      <c r="K45" s="14"/>
      <c r="L45" s="14"/>
      <c r="M45" s="30"/>
    </row>
    <row r="46" customFormat="false" ht="23.85" hidden="false" customHeight="false" outlineLevel="0" collapsed="false">
      <c r="A46" s="12" t="s">
        <v>143</v>
      </c>
      <c r="B46" s="19" t="s">
        <v>105</v>
      </c>
      <c r="C46" s="12" t="s">
        <v>61</v>
      </c>
      <c r="D46" s="12" t="s">
        <v>144</v>
      </c>
      <c r="E46" s="12" t="s">
        <v>482</v>
      </c>
      <c r="F46" s="25" t="n">
        <f aca="false">IFERROR(INDEX(ModelAnswers!$F$2:$F$176,MATCH($A46,ModelAnswers!$A$2:$A$176,0)),"")</f>
        <v>0</v>
      </c>
      <c r="G46" s="26" t="s">
        <v>465</v>
      </c>
      <c r="H46" s="27" t="n">
        <f aca="false">IFERROR(INDEX(ModelAnswers!$G$2:$G$176,MATCH($A46,ModelAnswers!$A$2:$A$176,0)),"")</f>
        <v>0</v>
      </c>
      <c r="I46" s="28" t="str">
        <f aca="false">IF($H46="","",IF(EXACT(TRIM($G46),TRIM($H46)),1,0))</f>
        <v/>
      </c>
      <c r="J46" s="29"/>
      <c r="K46" s="14"/>
      <c r="L46" s="14"/>
      <c r="M46" s="30"/>
    </row>
    <row r="47" customFormat="false" ht="35.05" hidden="false" customHeight="false" outlineLevel="0" collapsed="false">
      <c r="A47" s="12" t="s">
        <v>145</v>
      </c>
      <c r="B47" s="19" t="s">
        <v>105</v>
      </c>
      <c r="C47" s="12" t="s">
        <v>47</v>
      </c>
      <c r="D47" s="12" t="s">
        <v>146</v>
      </c>
      <c r="E47" s="12" t="s">
        <v>483</v>
      </c>
      <c r="F47" s="25" t="n">
        <f aca="false">IFERROR(INDEX(ModelAnswers!$F$2:$F$176,MATCH($A47,ModelAnswers!$A$2:$A$176,0)),"")</f>
        <v>0</v>
      </c>
      <c r="G47" s="26" t="s">
        <v>454</v>
      </c>
      <c r="H47" s="27" t="n">
        <f aca="false">IFERROR(INDEX(ModelAnswers!$G$2:$G$176,MATCH($A47,ModelAnswers!$A$2:$A$176,0)),"")</f>
        <v>0</v>
      </c>
      <c r="I47" s="28" t="str">
        <f aca="false">IF($H47="","",IF(EXACT(TRIM($G47),TRIM($H47)),1,0))</f>
        <v/>
      </c>
      <c r="J47" s="29"/>
      <c r="K47" s="14"/>
      <c r="L47" s="14"/>
      <c r="M47" s="30"/>
    </row>
    <row r="48" customFormat="false" ht="35.05" hidden="false" customHeight="false" outlineLevel="0" collapsed="false">
      <c r="A48" s="12" t="s">
        <v>147</v>
      </c>
      <c r="B48" s="19" t="s">
        <v>105</v>
      </c>
      <c r="C48" s="12" t="s">
        <v>61</v>
      </c>
      <c r="D48" s="12" t="s">
        <v>148</v>
      </c>
      <c r="E48" s="12" t="s">
        <v>484</v>
      </c>
      <c r="F48" s="25" t="n">
        <f aca="false">IFERROR(INDEX(ModelAnswers!$F$2:$F$176,MATCH($A48,ModelAnswers!$A$2:$A$176,0)),"")</f>
        <v>0</v>
      </c>
      <c r="G48" s="26" t="s">
        <v>461</v>
      </c>
      <c r="H48" s="27" t="n">
        <f aca="false">IFERROR(INDEX(ModelAnswers!$G$2:$G$176,MATCH($A48,ModelAnswers!$A$2:$A$176,0)),"")</f>
        <v>0</v>
      </c>
      <c r="I48" s="28" t="str">
        <f aca="false">IF($H48="","",IF(EXACT(TRIM($G48),TRIM($H48)),1,0))</f>
        <v/>
      </c>
      <c r="J48" s="29"/>
      <c r="K48" s="14"/>
      <c r="L48" s="14"/>
      <c r="M48" s="30"/>
    </row>
    <row r="49" customFormat="false" ht="23.85" hidden="false" customHeight="false" outlineLevel="0" collapsed="false">
      <c r="A49" s="12" t="s">
        <v>149</v>
      </c>
      <c r="B49" s="19" t="s">
        <v>105</v>
      </c>
      <c r="C49" s="12" t="s">
        <v>55</v>
      </c>
      <c r="D49" s="12" t="s">
        <v>150</v>
      </c>
      <c r="E49" s="12" t="s">
        <v>485</v>
      </c>
      <c r="F49" s="25" t="n">
        <f aca="false">IFERROR(INDEX(ModelAnswers!$F$2:$F$176,MATCH($A49,ModelAnswers!$A$2:$A$176,0)),"")</f>
        <v>0</v>
      </c>
      <c r="G49" s="26" t="s">
        <v>459</v>
      </c>
      <c r="H49" s="27" t="n">
        <f aca="false">IFERROR(INDEX(ModelAnswers!$G$2:$G$176,MATCH($A49,ModelAnswers!$A$2:$A$176,0)),"")</f>
        <v>0</v>
      </c>
      <c r="I49" s="28" t="str">
        <f aca="false">IF($H49="","",IF(EXACT(TRIM($G49),TRIM($H49)),1,0))</f>
        <v/>
      </c>
      <c r="J49" s="29"/>
      <c r="K49" s="14"/>
      <c r="L49" s="14"/>
      <c r="M49" s="30"/>
    </row>
    <row r="50" customFormat="false" ht="23.85" hidden="false" customHeight="false" outlineLevel="0" collapsed="false">
      <c r="A50" s="12" t="s">
        <v>151</v>
      </c>
      <c r="B50" s="19" t="s">
        <v>105</v>
      </c>
      <c r="C50" s="12" t="s">
        <v>64</v>
      </c>
      <c r="D50" s="12" t="s">
        <v>152</v>
      </c>
      <c r="E50" s="12" t="s">
        <v>486</v>
      </c>
      <c r="F50" s="25" t="n">
        <f aca="false">IFERROR(INDEX(ModelAnswers!$F$2:$F$176,MATCH($A50,ModelAnswers!$A$2:$A$176,0)),"")</f>
        <v>0</v>
      </c>
      <c r="G50" s="26" t="s">
        <v>463</v>
      </c>
      <c r="H50" s="27" t="n">
        <f aca="false">IFERROR(INDEX(ModelAnswers!$G$2:$G$176,MATCH($A50,ModelAnswers!$A$2:$A$176,0)),"")</f>
        <v>0</v>
      </c>
      <c r="I50" s="28" t="str">
        <f aca="false">IF($H50="","",IF(EXACT(TRIM($G50),TRIM($H50)),1,0))</f>
        <v/>
      </c>
      <c r="J50" s="29"/>
      <c r="K50" s="14"/>
      <c r="L50" s="14"/>
      <c r="M50" s="30"/>
    </row>
    <row r="51" customFormat="false" ht="23.85" hidden="false" customHeight="false" outlineLevel="0" collapsed="false">
      <c r="A51" s="12" t="s">
        <v>153</v>
      </c>
      <c r="B51" s="19" t="s">
        <v>105</v>
      </c>
      <c r="C51" s="12" t="s">
        <v>50</v>
      </c>
      <c r="D51" s="12" t="s">
        <v>154</v>
      </c>
      <c r="E51" s="12" t="s">
        <v>487</v>
      </c>
      <c r="F51" s="25" t="n">
        <f aca="false">IFERROR(INDEX(ModelAnswers!$F$2:$F$176,MATCH($A51,ModelAnswers!$A$2:$A$176,0)),"")</f>
        <v>0</v>
      </c>
      <c r="G51" s="26" t="s">
        <v>457</v>
      </c>
      <c r="H51" s="27" t="n">
        <f aca="false">IFERROR(INDEX(ModelAnswers!$G$2:$G$176,MATCH($A51,ModelAnswers!$A$2:$A$176,0)),"")</f>
        <v>0</v>
      </c>
      <c r="I51" s="28" t="str">
        <f aca="false">IF($H51="","",IF(EXACT(TRIM($G51),TRIM($H51)),1,0))</f>
        <v/>
      </c>
      <c r="J51" s="29"/>
      <c r="K51" s="14"/>
      <c r="L51" s="14"/>
      <c r="M51" s="30"/>
    </row>
    <row r="52" customFormat="false" ht="46.25" hidden="false" customHeight="false" outlineLevel="0" collapsed="false">
      <c r="A52" s="12" t="s">
        <v>155</v>
      </c>
      <c r="B52" s="20" t="s">
        <v>156</v>
      </c>
      <c r="C52" s="12" t="s">
        <v>47</v>
      </c>
      <c r="D52" s="12" t="s">
        <v>157</v>
      </c>
      <c r="E52" s="12" t="s">
        <v>488</v>
      </c>
      <c r="F52" s="25" t="n">
        <f aca="false">IFERROR(INDEX(ModelAnswers!$F$2:$F$176,MATCH($A52,ModelAnswers!$A$2:$A$176,0)),"")</f>
        <v>0</v>
      </c>
      <c r="G52" s="26" t="s">
        <v>489</v>
      </c>
      <c r="H52" s="27" t="n">
        <f aca="false">IFERROR(INDEX(ModelAnswers!$G$2:$G$176,MATCH($A52,ModelAnswers!$A$2:$A$176,0)),"")</f>
        <v>0</v>
      </c>
      <c r="I52" s="28" t="str">
        <f aca="false">IF($H52="","",IF(EXACT(TRIM($G52),TRIM($H52)),1,0))</f>
        <v/>
      </c>
      <c r="J52" s="29"/>
      <c r="K52" s="14"/>
      <c r="L52" s="14"/>
      <c r="M52" s="30"/>
    </row>
    <row r="53" customFormat="false" ht="35.05" hidden="false" customHeight="false" outlineLevel="0" collapsed="false">
      <c r="A53" s="12" t="s">
        <v>158</v>
      </c>
      <c r="B53" s="20" t="s">
        <v>156</v>
      </c>
      <c r="C53" s="12" t="s">
        <v>55</v>
      </c>
      <c r="D53" s="12" t="s">
        <v>159</v>
      </c>
      <c r="E53" s="12" t="s">
        <v>490</v>
      </c>
      <c r="F53" s="25" t="n">
        <f aca="false">IFERROR(INDEX(ModelAnswers!$F$2:$F$176,MATCH($A53,ModelAnswers!$A$2:$A$176,0)),"")</f>
        <v>0</v>
      </c>
      <c r="G53" s="26" t="s">
        <v>489</v>
      </c>
      <c r="H53" s="27" t="n">
        <f aca="false">IFERROR(INDEX(ModelAnswers!$G$2:$G$176,MATCH($A53,ModelAnswers!$A$2:$A$176,0)),"")</f>
        <v>0</v>
      </c>
      <c r="I53" s="28" t="str">
        <f aca="false">IF($H53="","",IF(EXACT(TRIM($G53),TRIM($H53)),1,0))</f>
        <v/>
      </c>
      <c r="J53" s="29"/>
      <c r="K53" s="14"/>
      <c r="L53" s="14"/>
      <c r="M53" s="30"/>
    </row>
    <row r="54" customFormat="false" ht="35.05" hidden="false" customHeight="false" outlineLevel="0" collapsed="false">
      <c r="A54" s="12" t="s">
        <v>160</v>
      </c>
      <c r="B54" s="20" t="s">
        <v>156</v>
      </c>
      <c r="C54" s="12" t="s">
        <v>50</v>
      </c>
      <c r="D54" s="12" t="s">
        <v>161</v>
      </c>
      <c r="E54" s="12" t="s">
        <v>491</v>
      </c>
      <c r="F54" s="25" t="n">
        <f aca="false">IFERROR(INDEX(ModelAnswers!$F$2:$F$176,MATCH($A54,ModelAnswers!$A$2:$A$176,0)),"")</f>
        <v>0</v>
      </c>
      <c r="G54" s="26" t="s">
        <v>492</v>
      </c>
      <c r="H54" s="27" t="n">
        <f aca="false">IFERROR(INDEX(ModelAnswers!$G$2:$G$176,MATCH($A54,ModelAnswers!$A$2:$A$176,0)),"")</f>
        <v>0</v>
      </c>
      <c r="I54" s="28" t="str">
        <f aca="false">IF($H54="","",IF(EXACT(TRIM($G54),TRIM($H54)),1,0))</f>
        <v/>
      </c>
      <c r="J54" s="29"/>
      <c r="K54" s="14"/>
      <c r="L54" s="14"/>
      <c r="M54" s="30"/>
    </row>
    <row r="55" customFormat="false" ht="46.25" hidden="false" customHeight="false" outlineLevel="0" collapsed="false">
      <c r="A55" s="12" t="s">
        <v>162</v>
      </c>
      <c r="B55" s="20" t="s">
        <v>156</v>
      </c>
      <c r="C55" s="12" t="s">
        <v>163</v>
      </c>
      <c r="D55" s="12" t="s">
        <v>164</v>
      </c>
      <c r="E55" s="12" t="s">
        <v>493</v>
      </c>
      <c r="F55" s="25" t="n">
        <f aca="false">IFERROR(INDEX(ModelAnswers!$F$2:$F$176,MATCH($A55,ModelAnswers!$A$2:$A$176,0)),"")</f>
        <v>0</v>
      </c>
      <c r="G55" s="26" t="s">
        <v>494</v>
      </c>
      <c r="H55" s="27" t="n">
        <f aca="false">IFERROR(INDEX(ModelAnswers!$G$2:$G$176,MATCH($A55,ModelAnswers!$A$2:$A$176,0)),"")</f>
        <v>0</v>
      </c>
      <c r="I55" s="28" t="str">
        <f aca="false">IF($H55="","",IF(EXACT(TRIM($G55),TRIM($H55)),1,0))</f>
        <v/>
      </c>
      <c r="J55" s="29"/>
      <c r="K55" s="14"/>
      <c r="L55" s="14"/>
      <c r="M55" s="30"/>
    </row>
    <row r="56" customFormat="false" ht="57.45" hidden="false" customHeight="false" outlineLevel="0" collapsed="false">
      <c r="A56" s="12" t="s">
        <v>165</v>
      </c>
      <c r="B56" s="20" t="s">
        <v>156</v>
      </c>
      <c r="C56" s="12" t="s">
        <v>163</v>
      </c>
      <c r="D56" s="12" t="s">
        <v>166</v>
      </c>
      <c r="E56" s="12" t="s">
        <v>495</v>
      </c>
      <c r="F56" s="25" t="n">
        <f aca="false">IFERROR(INDEX(ModelAnswers!$F$2:$F$176,MATCH($A56,ModelAnswers!$A$2:$A$176,0)),"")</f>
        <v>0</v>
      </c>
      <c r="G56" s="26" t="s">
        <v>494</v>
      </c>
      <c r="H56" s="27" t="n">
        <f aca="false">IFERROR(INDEX(ModelAnswers!$G$2:$G$176,MATCH($A56,ModelAnswers!$A$2:$A$176,0)),"")</f>
        <v>0</v>
      </c>
      <c r="I56" s="28" t="str">
        <f aca="false">IF($H56="","",IF(EXACT(TRIM($G56),TRIM($H56)),1,0))</f>
        <v/>
      </c>
      <c r="J56" s="29"/>
      <c r="K56" s="14"/>
      <c r="L56" s="14"/>
      <c r="M56" s="30"/>
    </row>
    <row r="57" customFormat="false" ht="57.45" hidden="false" customHeight="false" outlineLevel="0" collapsed="false">
      <c r="A57" s="12" t="s">
        <v>167</v>
      </c>
      <c r="B57" s="20" t="s">
        <v>156</v>
      </c>
      <c r="C57" s="12" t="s">
        <v>163</v>
      </c>
      <c r="D57" s="12" t="s">
        <v>168</v>
      </c>
      <c r="E57" s="12" t="s">
        <v>496</v>
      </c>
      <c r="F57" s="25" t="n">
        <f aca="false">IFERROR(INDEX(ModelAnswers!$F$2:$F$176,MATCH($A57,ModelAnswers!$A$2:$A$176,0)),"")</f>
        <v>0</v>
      </c>
      <c r="G57" s="26" t="s">
        <v>497</v>
      </c>
      <c r="H57" s="27" t="n">
        <f aca="false">IFERROR(INDEX(ModelAnswers!$G$2:$G$176,MATCH($A57,ModelAnswers!$A$2:$A$176,0)),"")</f>
        <v>0</v>
      </c>
      <c r="I57" s="28" t="str">
        <f aca="false">IF($H57="","",IF(EXACT(TRIM($G57),TRIM($H57)),1,0))</f>
        <v/>
      </c>
      <c r="J57" s="29"/>
      <c r="K57" s="14"/>
      <c r="L57" s="14"/>
      <c r="M57" s="30"/>
    </row>
    <row r="58" customFormat="false" ht="57.45" hidden="false" customHeight="false" outlineLevel="0" collapsed="false">
      <c r="A58" s="12" t="s">
        <v>169</v>
      </c>
      <c r="B58" s="20" t="s">
        <v>156</v>
      </c>
      <c r="C58" s="12" t="s">
        <v>163</v>
      </c>
      <c r="D58" s="12" t="s">
        <v>170</v>
      </c>
      <c r="E58" s="12" t="s">
        <v>498</v>
      </c>
      <c r="F58" s="25" t="n">
        <f aca="false">IFERROR(INDEX(ModelAnswers!$F$2:$F$176,MATCH($A58,ModelAnswers!$A$2:$A$176,0)),"")</f>
        <v>0</v>
      </c>
      <c r="G58" s="26" t="s">
        <v>499</v>
      </c>
      <c r="H58" s="27" t="n">
        <f aca="false">IFERROR(INDEX(ModelAnswers!$G$2:$G$176,MATCH($A58,ModelAnswers!$A$2:$A$176,0)),"")</f>
        <v>0</v>
      </c>
      <c r="I58" s="28" t="str">
        <f aca="false">IF($H58="","",IF(EXACT(TRIM($G58),TRIM($H58)),1,0))</f>
        <v/>
      </c>
      <c r="J58" s="29"/>
      <c r="K58" s="14"/>
      <c r="L58" s="14"/>
      <c r="M58" s="30"/>
    </row>
    <row r="59" customFormat="false" ht="79.85" hidden="false" customHeight="false" outlineLevel="0" collapsed="false">
      <c r="A59" s="12" t="s">
        <v>171</v>
      </c>
      <c r="B59" s="20" t="s">
        <v>156</v>
      </c>
      <c r="C59" s="12" t="s">
        <v>72</v>
      </c>
      <c r="D59" s="12" t="s">
        <v>172</v>
      </c>
      <c r="E59" s="12" t="s">
        <v>500</v>
      </c>
      <c r="F59" s="25" t="n">
        <f aca="false">IFERROR(INDEX(ModelAnswers!$F$2:$F$176,MATCH($A59,ModelAnswers!$A$2:$A$176,0)),"")</f>
        <v>0</v>
      </c>
      <c r="G59" s="26" t="s">
        <v>501</v>
      </c>
      <c r="H59" s="27" t="n">
        <f aca="false">IFERROR(INDEX(ModelAnswers!$G$2:$G$176,MATCH($A59,ModelAnswers!$A$2:$A$176,0)),"")</f>
        <v>0</v>
      </c>
      <c r="I59" s="28" t="str">
        <f aca="false">IF($H59="","",IF(EXACT(TRIM($G59),TRIM($H59)),1,0))</f>
        <v/>
      </c>
      <c r="J59" s="29"/>
      <c r="K59" s="14"/>
      <c r="L59" s="14"/>
      <c r="M59" s="30"/>
    </row>
    <row r="60" customFormat="false" ht="57.45" hidden="false" customHeight="false" outlineLevel="0" collapsed="false">
      <c r="A60" s="12" t="s">
        <v>173</v>
      </c>
      <c r="B60" s="20" t="s">
        <v>156</v>
      </c>
      <c r="C60" s="12" t="s">
        <v>50</v>
      </c>
      <c r="D60" s="12" t="s">
        <v>174</v>
      </c>
      <c r="E60" s="12" t="s">
        <v>502</v>
      </c>
      <c r="F60" s="25" t="n">
        <f aca="false">IFERROR(INDEX(ModelAnswers!$F$2:$F$176,MATCH($A60,ModelAnswers!$A$2:$A$176,0)),"")</f>
        <v>0</v>
      </c>
      <c r="G60" s="26" t="s">
        <v>503</v>
      </c>
      <c r="H60" s="27" t="n">
        <f aca="false">IFERROR(INDEX(ModelAnswers!$G$2:$G$176,MATCH($A60,ModelAnswers!$A$2:$A$176,0)),"")</f>
        <v>0</v>
      </c>
      <c r="I60" s="28" t="str">
        <f aca="false">IF($H60="","",IF(EXACT(TRIM($G60),TRIM($H60)),1,0))</f>
        <v/>
      </c>
      <c r="J60" s="29"/>
      <c r="K60" s="14"/>
      <c r="L60" s="14"/>
      <c r="M60" s="30"/>
    </row>
    <row r="61" customFormat="false" ht="46.25" hidden="false" customHeight="false" outlineLevel="0" collapsed="false">
      <c r="A61" s="12" t="s">
        <v>175</v>
      </c>
      <c r="B61" s="20" t="s">
        <v>156</v>
      </c>
      <c r="C61" s="12" t="s">
        <v>64</v>
      </c>
      <c r="D61" s="12" t="s">
        <v>176</v>
      </c>
      <c r="E61" s="12" t="s">
        <v>504</v>
      </c>
      <c r="F61" s="25" t="n">
        <f aca="false">IFERROR(INDEX(ModelAnswers!$F$2:$F$176,MATCH($A61,ModelAnswers!$A$2:$A$176,0)),"")</f>
        <v>0</v>
      </c>
      <c r="G61" s="26" t="s">
        <v>505</v>
      </c>
      <c r="H61" s="27" t="n">
        <f aca="false">IFERROR(INDEX(ModelAnswers!$G$2:$G$176,MATCH($A61,ModelAnswers!$A$2:$A$176,0)),"")</f>
        <v>0</v>
      </c>
      <c r="I61" s="28" t="str">
        <f aca="false">IF($H61="","",IF(EXACT(TRIM($G61),TRIM($H61)),1,0))</f>
        <v/>
      </c>
      <c r="J61" s="29"/>
      <c r="K61" s="14"/>
      <c r="L61" s="14"/>
      <c r="M61" s="30"/>
    </row>
    <row r="62" customFormat="false" ht="35.05" hidden="false" customHeight="false" outlineLevel="0" collapsed="false">
      <c r="A62" s="12" t="s">
        <v>177</v>
      </c>
      <c r="B62" s="20" t="s">
        <v>156</v>
      </c>
      <c r="C62" s="12" t="s">
        <v>50</v>
      </c>
      <c r="D62" s="12" t="s">
        <v>178</v>
      </c>
      <c r="E62" s="12" t="s">
        <v>506</v>
      </c>
      <c r="F62" s="25" t="n">
        <f aca="false">IFERROR(INDEX(ModelAnswers!$F$2:$F$176,MATCH($A62,ModelAnswers!$A$2:$A$176,0)),"")</f>
        <v>0</v>
      </c>
      <c r="G62" s="26" t="s">
        <v>492</v>
      </c>
      <c r="H62" s="27" t="n">
        <f aca="false">IFERROR(INDEX(ModelAnswers!$G$2:$G$176,MATCH($A62,ModelAnswers!$A$2:$A$176,0)),"")</f>
        <v>0</v>
      </c>
      <c r="I62" s="28" t="str">
        <f aca="false">IF($H62="","",IF(EXACT(TRIM($G62),TRIM($H62)),1,0))</f>
        <v/>
      </c>
      <c r="J62" s="29"/>
      <c r="K62" s="14"/>
      <c r="L62" s="14"/>
      <c r="M62" s="30"/>
    </row>
    <row r="63" customFormat="false" ht="35.05" hidden="false" customHeight="false" outlineLevel="0" collapsed="false">
      <c r="A63" s="12" t="s">
        <v>179</v>
      </c>
      <c r="B63" s="20" t="s">
        <v>156</v>
      </c>
      <c r="C63" s="12" t="s">
        <v>61</v>
      </c>
      <c r="D63" s="12" t="s">
        <v>180</v>
      </c>
      <c r="E63" s="12" t="s">
        <v>507</v>
      </c>
      <c r="F63" s="25" t="n">
        <f aca="false">IFERROR(INDEX(ModelAnswers!$F$2:$F$176,MATCH($A63,ModelAnswers!$A$2:$A$176,0)),"")</f>
        <v>0</v>
      </c>
      <c r="G63" s="26" t="s">
        <v>489</v>
      </c>
      <c r="H63" s="27" t="n">
        <f aca="false">IFERROR(INDEX(ModelAnswers!$G$2:$G$176,MATCH($A63,ModelAnswers!$A$2:$A$176,0)),"")</f>
        <v>0</v>
      </c>
      <c r="I63" s="28" t="str">
        <f aca="false">IF($H63="","",IF(EXACT(TRIM($G63),TRIM($H63)),1,0))</f>
        <v/>
      </c>
      <c r="J63" s="29"/>
      <c r="K63" s="14"/>
      <c r="L63" s="14"/>
      <c r="M63" s="30"/>
    </row>
    <row r="64" customFormat="false" ht="35.05" hidden="false" customHeight="false" outlineLevel="0" collapsed="false">
      <c r="A64" s="12" t="s">
        <v>181</v>
      </c>
      <c r="B64" s="20" t="s">
        <v>156</v>
      </c>
      <c r="C64" s="12" t="s">
        <v>163</v>
      </c>
      <c r="D64" s="12" t="s">
        <v>182</v>
      </c>
      <c r="E64" s="12" t="s">
        <v>508</v>
      </c>
      <c r="F64" s="25" t="n">
        <f aca="false">IFERROR(INDEX(ModelAnswers!$F$2:$F$176,MATCH($A64,ModelAnswers!$A$2:$A$176,0)),"")</f>
        <v>0</v>
      </c>
      <c r="G64" s="26" t="s">
        <v>499</v>
      </c>
      <c r="H64" s="27" t="n">
        <f aca="false">IFERROR(INDEX(ModelAnswers!$G$2:$G$176,MATCH($A64,ModelAnswers!$A$2:$A$176,0)),"")</f>
        <v>0</v>
      </c>
      <c r="I64" s="28" t="str">
        <f aca="false">IF($H64="","",IF(EXACT(TRIM($G64),TRIM($H64)),1,0))</f>
        <v/>
      </c>
      <c r="J64" s="29"/>
      <c r="K64" s="14"/>
      <c r="L64" s="14"/>
      <c r="M64" s="30"/>
    </row>
    <row r="65" customFormat="false" ht="46.25" hidden="false" customHeight="false" outlineLevel="0" collapsed="false">
      <c r="A65" s="12" t="s">
        <v>183</v>
      </c>
      <c r="B65" s="20" t="s">
        <v>156</v>
      </c>
      <c r="C65" s="12" t="s">
        <v>50</v>
      </c>
      <c r="D65" s="12" t="s">
        <v>184</v>
      </c>
      <c r="E65" s="12" t="s">
        <v>509</v>
      </c>
      <c r="F65" s="25" t="n">
        <f aca="false">IFERROR(INDEX(ModelAnswers!$F$2:$F$176,MATCH($A65,ModelAnswers!$A$2:$A$176,0)),"")</f>
        <v>0</v>
      </c>
      <c r="G65" s="26" t="s">
        <v>503</v>
      </c>
      <c r="H65" s="27" t="n">
        <f aca="false">IFERROR(INDEX(ModelAnswers!$G$2:$G$176,MATCH($A65,ModelAnswers!$A$2:$A$176,0)),"")</f>
        <v>0</v>
      </c>
      <c r="I65" s="28" t="str">
        <f aca="false">IF($H65="","",IF(EXACT(TRIM($G65),TRIM($H65)),1,0))</f>
        <v/>
      </c>
      <c r="J65" s="29"/>
      <c r="K65" s="14"/>
      <c r="L65" s="14"/>
      <c r="M65" s="30"/>
    </row>
    <row r="66" customFormat="false" ht="68.65" hidden="false" customHeight="false" outlineLevel="0" collapsed="false">
      <c r="A66" s="12" t="s">
        <v>185</v>
      </c>
      <c r="B66" s="20" t="s">
        <v>156</v>
      </c>
      <c r="C66" s="12" t="s">
        <v>47</v>
      </c>
      <c r="D66" s="12" t="s">
        <v>186</v>
      </c>
      <c r="E66" s="12" t="s">
        <v>510</v>
      </c>
      <c r="F66" s="25" t="n">
        <f aca="false">IFERROR(INDEX(ModelAnswers!$F$2:$F$176,MATCH($A66,ModelAnswers!$A$2:$A$176,0)),"")</f>
        <v>0</v>
      </c>
      <c r="G66" s="26" t="s">
        <v>511</v>
      </c>
      <c r="H66" s="27" t="n">
        <f aca="false">IFERROR(INDEX(ModelAnswers!$G$2:$G$176,MATCH($A66,ModelAnswers!$A$2:$A$176,0)),"")</f>
        <v>0</v>
      </c>
      <c r="I66" s="28" t="str">
        <f aca="false">IF($H66="","",IF(EXACT(TRIM($G66),TRIM($H66)),1,0))</f>
        <v/>
      </c>
      <c r="J66" s="29"/>
      <c r="K66" s="14"/>
      <c r="L66" s="14"/>
      <c r="M66" s="30"/>
    </row>
    <row r="67" customFormat="false" ht="23.85" hidden="false" customHeight="false" outlineLevel="0" collapsed="false">
      <c r="A67" s="12" t="s">
        <v>187</v>
      </c>
      <c r="B67" s="20" t="s">
        <v>156</v>
      </c>
      <c r="C67" s="12" t="s">
        <v>47</v>
      </c>
      <c r="D67" s="12" t="s">
        <v>188</v>
      </c>
      <c r="E67" s="12" t="s">
        <v>512</v>
      </c>
      <c r="F67" s="25" t="n">
        <f aca="false">IFERROR(INDEX(ModelAnswers!$F$2:$F$176,MATCH($A67,ModelAnswers!$A$2:$A$176,0)),"")</f>
        <v>0</v>
      </c>
      <c r="G67" s="26" t="s">
        <v>511</v>
      </c>
      <c r="H67" s="27" t="n">
        <f aca="false">IFERROR(INDEX(ModelAnswers!$G$2:$G$176,MATCH($A67,ModelAnswers!$A$2:$A$176,0)),"")</f>
        <v>0</v>
      </c>
      <c r="I67" s="28" t="str">
        <f aca="false">IF($H67="","",IF(EXACT(TRIM($G67),TRIM($H67)),1,0))</f>
        <v/>
      </c>
      <c r="J67" s="29"/>
      <c r="K67" s="14"/>
      <c r="L67" s="14"/>
      <c r="M67" s="30"/>
    </row>
    <row r="68" customFormat="false" ht="35.05" hidden="false" customHeight="false" outlineLevel="0" collapsed="false">
      <c r="A68" s="12" t="s">
        <v>189</v>
      </c>
      <c r="B68" s="20" t="s">
        <v>156</v>
      </c>
      <c r="C68" s="12" t="s">
        <v>55</v>
      </c>
      <c r="D68" s="12" t="s">
        <v>190</v>
      </c>
      <c r="E68" s="12" t="s">
        <v>513</v>
      </c>
      <c r="F68" s="25" t="n">
        <f aca="false">IFERROR(INDEX(ModelAnswers!$F$2:$F$176,MATCH($A68,ModelAnswers!$A$2:$A$176,0)),"")</f>
        <v>0</v>
      </c>
      <c r="G68" s="26" t="s">
        <v>489</v>
      </c>
      <c r="H68" s="27" t="n">
        <f aca="false">IFERROR(INDEX(ModelAnswers!$G$2:$G$176,MATCH($A68,ModelAnswers!$A$2:$A$176,0)),"")</f>
        <v>0</v>
      </c>
      <c r="I68" s="28" t="str">
        <f aca="false">IF($H68="","",IF(EXACT(TRIM($G68),TRIM($H68)),1,0))</f>
        <v/>
      </c>
      <c r="J68" s="29"/>
      <c r="K68" s="14"/>
      <c r="L68" s="14"/>
      <c r="M68" s="30"/>
    </row>
    <row r="69" customFormat="false" ht="46.25" hidden="false" customHeight="false" outlineLevel="0" collapsed="false">
      <c r="A69" s="12" t="s">
        <v>191</v>
      </c>
      <c r="B69" s="20" t="s">
        <v>156</v>
      </c>
      <c r="C69" s="12" t="s">
        <v>72</v>
      </c>
      <c r="D69" s="12" t="s">
        <v>192</v>
      </c>
      <c r="E69" s="12" t="s">
        <v>514</v>
      </c>
      <c r="F69" s="25" t="n">
        <f aca="false">IFERROR(INDEX(ModelAnswers!$F$2:$F$176,MATCH($A69,ModelAnswers!$A$2:$A$176,0)),"")</f>
        <v>0</v>
      </c>
      <c r="G69" s="26" t="s">
        <v>501</v>
      </c>
      <c r="H69" s="27" t="n">
        <f aca="false">IFERROR(INDEX(ModelAnswers!$G$2:$G$176,MATCH($A69,ModelAnswers!$A$2:$A$176,0)),"")</f>
        <v>0</v>
      </c>
      <c r="I69" s="28" t="str">
        <f aca="false">IF($H69="","",IF(EXACT(TRIM($G69),TRIM($H69)),1,0))</f>
        <v/>
      </c>
      <c r="J69" s="29"/>
      <c r="K69" s="14"/>
      <c r="L69" s="14"/>
      <c r="M69" s="30"/>
    </row>
    <row r="70" customFormat="false" ht="23.85" hidden="false" customHeight="false" outlineLevel="0" collapsed="false">
      <c r="A70" s="12" t="s">
        <v>193</v>
      </c>
      <c r="B70" s="20" t="s">
        <v>156</v>
      </c>
      <c r="C70" s="12" t="s">
        <v>50</v>
      </c>
      <c r="D70" s="12" t="s">
        <v>194</v>
      </c>
      <c r="E70" s="12" t="s">
        <v>515</v>
      </c>
      <c r="F70" s="25" t="n">
        <f aca="false">IFERROR(INDEX(ModelAnswers!$F$2:$F$176,MATCH($A70,ModelAnswers!$A$2:$A$176,0)),"")</f>
        <v>0</v>
      </c>
      <c r="G70" s="26" t="s">
        <v>492</v>
      </c>
      <c r="H70" s="27" t="n">
        <f aca="false">IFERROR(INDEX(ModelAnswers!$G$2:$G$176,MATCH($A70,ModelAnswers!$A$2:$A$176,0)),"")</f>
        <v>0</v>
      </c>
      <c r="I70" s="28" t="str">
        <f aca="false">IF($H70="","",IF(EXACT(TRIM($G70),TRIM($H70)),1,0))</f>
        <v/>
      </c>
      <c r="J70" s="29"/>
      <c r="K70" s="14"/>
      <c r="L70" s="14"/>
      <c r="M70" s="30"/>
    </row>
    <row r="71" customFormat="false" ht="35.05" hidden="false" customHeight="false" outlineLevel="0" collapsed="false">
      <c r="A71" s="12" t="s">
        <v>195</v>
      </c>
      <c r="B71" s="20" t="s">
        <v>156</v>
      </c>
      <c r="C71" s="12" t="s">
        <v>163</v>
      </c>
      <c r="D71" s="12" t="s">
        <v>196</v>
      </c>
      <c r="E71" s="12" t="s">
        <v>516</v>
      </c>
      <c r="F71" s="25" t="n">
        <f aca="false">IFERROR(INDEX(ModelAnswers!$F$2:$F$176,MATCH($A71,ModelAnswers!$A$2:$A$176,0)),"")</f>
        <v>0</v>
      </c>
      <c r="G71" s="26" t="s">
        <v>494</v>
      </c>
      <c r="H71" s="27" t="n">
        <f aca="false">IFERROR(INDEX(ModelAnswers!$G$2:$G$176,MATCH($A71,ModelAnswers!$A$2:$A$176,0)),"")</f>
        <v>0</v>
      </c>
      <c r="I71" s="28" t="str">
        <f aca="false">IF($H71="","",IF(EXACT(TRIM($G71),TRIM($H71)),1,0))</f>
        <v/>
      </c>
      <c r="J71" s="29"/>
      <c r="K71" s="14"/>
      <c r="L71" s="14"/>
      <c r="M71" s="30"/>
    </row>
    <row r="72" customFormat="false" ht="23.85" hidden="false" customHeight="false" outlineLevel="0" collapsed="false">
      <c r="A72" s="12" t="s">
        <v>197</v>
      </c>
      <c r="B72" s="20" t="s">
        <v>156</v>
      </c>
      <c r="C72" s="12" t="s">
        <v>61</v>
      </c>
      <c r="D72" s="12" t="s">
        <v>198</v>
      </c>
      <c r="E72" s="12" t="s">
        <v>517</v>
      </c>
      <c r="F72" s="25" t="n">
        <f aca="false">IFERROR(INDEX(ModelAnswers!$F$2:$F$176,MATCH($A72,ModelAnswers!$A$2:$A$176,0)),"")</f>
        <v>0</v>
      </c>
      <c r="G72" s="26" t="s">
        <v>489</v>
      </c>
      <c r="H72" s="27" t="n">
        <f aca="false">IFERROR(INDEX(ModelAnswers!$G$2:$G$176,MATCH($A72,ModelAnswers!$A$2:$A$176,0)),"")</f>
        <v>0</v>
      </c>
      <c r="I72" s="28" t="str">
        <f aca="false">IF($H72="","",IF(EXACT(TRIM($G72),TRIM($H72)),1,0))</f>
        <v/>
      </c>
      <c r="J72" s="29"/>
      <c r="K72" s="14"/>
      <c r="L72" s="14"/>
      <c r="M72" s="30"/>
    </row>
    <row r="73" customFormat="false" ht="23.85" hidden="false" customHeight="false" outlineLevel="0" collapsed="false">
      <c r="A73" s="12" t="s">
        <v>199</v>
      </c>
      <c r="B73" s="20" t="s">
        <v>156</v>
      </c>
      <c r="C73" s="12" t="s">
        <v>163</v>
      </c>
      <c r="D73" s="12" t="s">
        <v>200</v>
      </c>
      <c r="E73" s="12" t="s">
        <v>518</v>
      </c>
      <c r="F73" s="25" t="n">
        <f aca="false">IFERROR(INDEX(ModelAnswers!$F$2:$F$176,MATCH($A73,ModelAnswers!$A$2:$A$176,0)),"")</f>
        <v>0</v>
      </c>
      <c r="G73" s="26" t="s">
        <v>497</v>
      </c>
      <c r="H73" s="27" t="n">
        <f aca="false">IFERROR(INDEX(ModelAnswers!$G$2:$G$176,MATCH($A73,ModelAnswers!$A$2:$A$176,0)),"")</f>
        <v>0</v>
      </c>
      <c r="I73" s="28" t="str">
        <f aca="false">IF($H73="","",IF(EXACT(TRIM($G73),TRIM($H73)),1,0))</f>
        <v/>
      </c>
      <c r="J73" s="29"/>
      <c r="K73" s="14"/>
      <c r="L73" s="14"/>
      <c r="M73" s="30"/>
    </row>
    <row r="74" customFormat="false" ht="35.05" hidden="false" customHeight="false" outlineLevel="0" collapsed="false">
      <c r="A74" s="12" t="s">
        <v>201</v>
      </c>
      <c r="B74" s="20" t="s">
        <v>156</v>
      </c>
      <c r="C74" s="12" t="s">
        <v>50</v>
      </c>
      <c r="D74" s="12" t="s">
        <v>202</v>
      </c>
      <c r="E74" s="12" t="s">
        <v>519</v>
      </c>
      <c r="F74" s="25" t="n">
        <f aca="false">IFERROR(INDEX(ModelAnswers!$F$2:$F$176,MATCH($A74,ModelAnswers!$A$2:$A$176,0)),"")</f>
        <v>0</v>
      </c>
      <c r="G74" s="26" t="s">
        <v>503</v>
      </c>
      <c r="H74" s="27" t="n">
        <f aca="false">IFERROR(INDEX(ModelAnswers!$G$2:$G$176,MATCH($A74,ModelAnswers!$A$2:$A$176,0)),"")</f>
        <v>0</v>
      </c>
      <c r="I74" s="28" t="str">
        <f aca="false">IF($H74="","",IF(EXACT(TRIM($G74),TRIM($H74)),1,0))</f>
        <v/>
      </c>
      <c r="J74" s="29"/>
      <c r="K74" s="14"/>
      <c r="L74" s="14"/>
      <c r="M74" s="30"/>
    </row>
    <row r="75" customFormat="false" ht="23.85" hidden="false" customHeight="false" outlineLevel="0" collapsed="false">
      <c r="A75" s="12" t="s">
        <v>203</v>
      </c>
      <c r="B75" s="20" t="s">
        <v>156</v>
      </c>
      <c r="C75" s="12" t="s">
        <v>64</v>
      </c>
      <c r="D75" s="12" t="s">
        <v>204</v>
      </c>
      <c r="E75" s="12" t="s">
        <v>520</v>
      </c>
      <c r="F75" s="25" t="n">
        <f aca="false">IFERROR(INDEX(ModelAnswers!$F$2:$F$176,MATCH($A75,ModelAnswers!$A$2:$A$176,0)),"")</f>
        <v>0</v>
      </c>
      <c r="G75" s="26" t="s">
        <v>505</v>
      </c>
      <c r="H75" s="27" t="n">
        <f aca="false">IFERROR(INDEX(ModelAnswers!$G$2:$G$176,MATCH($A75,ModelAnswers!$A$2:$A$176,0)),"")</f>
        <v>0</v>
      </c>
      <c r="I75" s="28" t="str">
        <f aca="false">IF($H75="","",IF(EXACT(TRIM($G75),TRIM($H75)),1,0))</f>
        <v/>
      </c>
      <c r="J75" s="29"/>
      <c r="K75" s="14"/>
      <c r="L75" s="14"/>
      <c r="M75" s="30"/>
    </row>
    <row r="76" customFormat="false" ht="46.25" hidden="false" customHeight="false" outlineLevel="0" collapsed="false">
      <c r="A76" s="12" t="s">
        <v>205</v>
      </c>
      <c r="B76" s="20" t="s">
        <v>156</v>
      </c>
      <c r="C76" s="12" t="s">
        <v>163</v>
      </c>
      <c r="D76" s="12" t="s">
        <v>206</v>
      </c>
      <c r="E76" s="12" t="s">
        <v>521</v>
      </c>
      <c r="F76" s="25" t="n">
        <f aca="false">IFERROR(INDEX(ModelAnswers!$F$2:$F$176,MATCH($A76,ModelAnswers!$A$2:$A$176,0)),"")</f>
        <v>0</v>
      </c>
      <c r="G76" s="26" t="s">
        <v>494</v>
      </c>
      <c r="H76" s="27" t="n">
        <f aca="false">IFERROR(INDEX(ModelAnswers!$G$2:$G$176,MATCH($A76,ModelAnswers!$A$2:$A$176,0)),"")</f>
        <v>0</v>
      </c>
      <c r="I76" s="28" t="str">
        <f aca="false">IF($H76="","",IF(EXACT(TRIM($G76),TRIM($H76)),1,0))</f>
        <v/>
      </c>
      <c r="J76" s="29"/>
      <c r="K76" s="14"/>
      <c r="L76" s="14"/>
      <c r="M76" s="30"/>
    </row>
    <row r="77" customFormat="false" ht="46.25" hidden="false" customHeight="false" outlineLevel="0" collapsed="false">
      <c r="A77" s="12" t="s">
        <v>207</v>
      </c>
      <c r="B77" s="21" t="s">
        <v>208</v>
      </c>
      <c r="C77" s="12" t="s">
        <v>47</v>
      </c>
      <c r="D77" s="12" t="s">
        <v>209</v>
      </c>
      <c r="E77" s="12" t="s">
        <v>522</v>
      </c>
      <c r="F77" s="25" t="n">
        <f aca="false">IFERROR(INDEX(ModelAnswers!$F$2:$F$176,MATCH($A77,ModelAnswers!$A$2:$A$176,0)),"")</f>
        <v>0</v>
      </c>
      <c r="G77" s="26" t="s">
        <v>523</v>
      </c>
      <c r="H77" s="27" t="n">
        <f aca="false">IFERROR(INDEX(ModelAnswers!$G$2:$G$176,MATCH($A77,ModelAnswers!$A$2:$A$176,0)),"")</f>
        <v>0</v>
      </c>
      <c r="I77" s="28" t="str">
        <f aca="false">IF($H77="","",IF(EXACT(TRIM($G77),TRIM($H77)),1,0))</f>
        <v/>
      </c>
      <c r="J77" s="29"/>
      <c r="K77" s="14"/>
      <c r="L77" s="14"/>
      <c r="M77" s="30"/>
    </row>
    <row r="78" customFormat="false" ht="57.45" hidden="false" customHeight="false" outlineLevel="0" collapsed="false">
      <c r="A78" s="12" t="s">
        <v>210</v>
      </c>
      <c r="B78" s="21" t="s">
        <v>208</v>
      </c>
      <c r="C78" s="12" t="s">
        <v>58</v>
      </c>
      <c r="D78" s="12" t="s">
        <v>211</v>
      </c>
      <c r="E78" s="12" t="s">
        <v>524</v>
      </c>
      <c r="F78" s="25" t="n">
        <f aca="false">IFERROR(INDEX(ModelAnswers!$F$2:$F$176,MATCH($A78,ModelAnswers!$A$2:$A$176,0)),"")</f>
        <v>0</v>
      </c>
      <c r="G78" s="26" t="s">
        <v>525</v>
      </c>
      <c r="H78" s="27" t="n">
        <f aca="false">IFERROR(INDEX(ModelAnswers!$G$2:$G$176,MATCH($A78,ModelAnswers!$A$2:$A$176,0)),"")</f>
        <v>0</v>
      </c>
      <c r="I78" s="28" t="str">
        <f aca="false">IF($H78="","",IF(EXACT(TRIM($G78),TRIM($H78)),1,0))</f>
        <v/>
      </c>
      <c r="J78" s="29"/>
      <c r="K78" s="14"/>
      <c r="L78" s="14"/>
      <c r="M78" s="30"/>
    </row>
    <row r="79" customFormat="false" ht="57.45" hidden="false" customHeight="false" outlineLevel="0" collapsed="false">
      <c r="A79" s="12" t="s">
        <v>212</v>
      </c>
      <c r="B79" s="21" t="s">
        <v>208</v>
      </c>
      <c r="C79" s="12" t="s">
        <v>47</v>
      </c>
      <c r="D79" s="12" t="s">
        <v>213</v>
      </c>
      <c r="E79" s="12" t="s">
        <v>526</v>
      </c>
      <c r="F79" s="25" t="n">
        <f aca="false">IFERROR(INDEX(ModelAnswers!$F$2:$F$176,MATCH($A79,ModelAnswers!$A$2:$A$176,0)),"")</f>
        <v>0</v>
      </c>
      <c r="G79" s="26" t="s">
        <v>527</v>
      </c>
      <c r="H79" s="27" t="n">
        <f aca="false">IFERROR(INDEX(ModelAnswers!$G$2:$G$176,MATCH($A79,ModelAnswers!$A$2:$A$176,0)),"")</f>
        <v>0</v>
      </c>
      <c r="I79" s="28" t="str">
        <f aca="false">IF($H79="","",IF(EXACT(TRIM($G79),TRIM($H79)),1,0))</f>
        <v/>
      </c>
      <c r="J79" s="29"/>
      <c r="K79" s="14"/>
      <c r="L79" s="14"/>
      <c r="M79" s="30"/>
    </row>
    <row r="80" customFormat="false" ht="35.05" hidden="false" customHeight="false" outlineLevel="0" collapsed="false">
      <c r="A80" s="12" t="s">
        <v>214</v>
      </c>
      <c r="B80" s="21" t="s">
        <v>208</v>
      </c>
      <c r="C80" s="12" t="s">
        <v>163</v>
      </c>
      <c r="D80" s="12" t="s">
        <v>215</v>
      </c>
      <c r="E80" s="12" t="s">
        <v>528</v>
      </c>
      <c r="F80" s="25" t="n">
        <f aca="false">IFERROR(INDEX(ModelAnswers!$F$2:$F$176,MATCH($A80,ModelAnswers!$A$2:$A$176,0)),"")</f>
        <v>0</v>
      </c>
      <c r="G80" s="26" t="s">
        <v>529</v>
      </c>
      <c r="H80" s="27" t="n">
        <f aca="false">IFERROR(INDEX(ModelAnswers!$G$2:$G$176,MATCH($A80,ModelAnswers!$A$2:$A$176,0)),"")</f>
        <v>0</v>
      </c>
      <c r="I80" s="28" t="str">
        <f aca="false">IF($H80="","",IF(EXACT(TRIM($G80),TRIM($H80)),1,0))</f>
        <v/>
      </c>
      <c r="J80" s="29"/>
      <c r="K80" s="14"/>
      <c r="L80" s="14"/>
      <c r="M80" s="30"/>
    </row>
    <row r="81" customFormat="false" ht="57.45" hidden="false" customHeight="false" outlineLevel="0" collapsed="false">
      <c r="A81" s="12" t="s">
        <v>216</v>
      </c>
      <c r="B81" s="21" t="s">
        <v>208</v>
      </c>
      <c r="C81" s="12" t="s">
        <v>163</v>
      </c>
      <c r="D81" s="12" t="s">
        <v>217</v>
      </c>
      <c r="E81" s="12" t="s">
        <v>530</v>
      </c>
      <c r="F81" s="25" t="n">
        <f aca="false">IFERROR(INDEX(ModelAnswers!$F$2:$F$176,MATCH($A81,ModelAnswers!$A$2:$A$176,0)),"")</f>
        <v>0</v>
      </c>
      <c r="G81" s="26" t="s">
        <v>531</v>
      </c>
      <c r="H81" s="27" t="n">
        <f aca="false">IFERROR(INDEX(ModelAnswers!$G$2:$G$176,MATCH($A81,ModelAnswers!$A$2:$A$176,0)),"")</f>
        <v>0</v>
      </c>
      <c r="I81" s="28" t="str">
        <f aca="false">IF($H81="","",IF(EXACT(TRIM($G81),TRIM($H81)),1,0))</f>
        <v/>
      </c>
      <c r="J81" s="29"/>
      <c r="K81" s="14"/>
      <c r="L81" s="14"/>
      <c r="M81" s="30"/>
    </row>
    <row r="82" customFormat="false" ht="46.25" hidden="false" customHeight="false" outlineLevel="0" collapsed="false">
      <c r="A82" s="12" t="s">
        <v>218</v>
      </c>
      <c r="B82" s="21" t="s">
        <v>208</v>
      </c>
      <c r="C82" s="12" t="s">
        <v>163</v>
      </c>
      <c r="D82" s="12" t="s">
        <v>219</v>
      </c>
      <c r="E82" s="12" t="s">
        <v>532</v>
      </c>
      <c r="F82" s="25" t="n">
        <f aca="false">IFERROR(INDEX(ModelAnswers!$F$2:$F$176,MATCH($A82,ModelAnswers!$A$2:$A$176,0)),"")</f>
        <v>0</v>
      </c>
      <c r="G82" s="26" t="s">
        <v>533</v>
      </c>
      <c r="H82" s="27" t="n">
        <f aca="false">IFERROR(INDEX(ModelAnswers!$G$2:$G$176,MATCH($A82,ModelAnswers!$A$2:$A$176,0)),"")</f>
        <v>0</v>
      </c>
      <c r="I82" s="28" t="str">
        <f aca="false">IF($H82="","",IF(EXACT(TRIM($G82),TRIM($H82)),1,0))</f>
        <v/>
      </c>
      <c r="J82" s="29"/>
      <c r="K82" s="14"/>
      <c r="L82" s="14"/>
      <c r="M82" s="30"/>
    </row>
    <row r="83" customFormat="false" ht="79.85" hidden="false" customHeight="false" outlineLevel="0" collapsed="false">
      <c r="A83" s="12" t="s">
        <v>220</v>
      </c>
      <c r="B83" s="21" t="s">
        <v>208</v>
      </c>
      <c r="C83" s="12" t="s">
        <v>72</v>
      </c>
      <c r="D83" s="12" t="s">
        <v>221</v>
      </c>
      <c r="E83" s="12" t="s">
        <v>534</v>
      </c>
      <c r="F83" s="25" t="n">
        <f aca="false">IFERROR(INDEX(ModelAnswers!$F$2:$F$176,MATCH($A83,ModelAnswers!$A$2:$A$176,0)),"")</f>
        <v>0</v>
      </c>
      <c r="G83" s="26" t="s">
        <v>535</v>
      </c>
      <c r="H83" s="27" t="n">
        <f aca="false">IFERROR(INDEX(ModelAnswers!$G$2:$G$176,MATCH($A83,ModelAnswers!$A$2:$A$176,0)),"")</f>
        <v>0</v>
      </c>
      <c r="I83" s="28" t="str">
        <f aca="false">IF($H83="","",IF(EXACT(TRIM($G83),TRIM($H83)),1,0))</f>
        <v/>
      </c>
      <c r="J83" s="29"/>
      <c r="K83" s="14"/>
      <c r="L83" s="14"/>
      <c r="M83" s="30"/>
    </row>
    <row r="84" customFormat="false" ht="46.25" hidden="false" customHeight="false" outlineLevel="0" collapsed="false">
      <c r="A84" s="12" t="s">
        <v>222</v>
      </c>
      <c r="B84" s="21" t="s">
        <v>208</v>
      </c>
      <c r="C84" s="12" t="s">
        <v>64</v>
      </c>
      <c r="D84" s="12" t="s">
        <v>223</v>
      </c>
      <c r="E84" s="12" t="s">
        <v>536</v>
      </c>
      <c r="F84" s="25" t="n">
        <f aca="false">IFERROR(INDEX(ModelAnswers!$F$2:$F$176,MATCH($A84,ModelAnswers!$A$2:$A$176,0)),"")</f>
        <v>0</v>
      </c>
      <c r="G84" s="26" t="s">
        <v>537</v>
      </c>
      <c r="H84" s="27" t="n">
        <f aca="false">IFERROR(INDEX(ModelAnswers!$G$2:$G$176,MATCH($A84,ModelAnswers!$A$2:$A$176,0)),"")</f>
        <v>0</v>
      </c>
      <c r="I84" s="28" t="str">
        <f aca="false">IF($H84="","",IF(EXACT(TRIM($G84),TRIM($H84)),1,0))</f>
        <v/>
      </c>
      <c r="J84" s="29"/>
      <c r="K84" s="14"/>
      <c r="L84" s="14"/>
      <c r="M84" s="30"/>
    </row>
    <row r="85" customFormat="false" ht="35.05" hidden="false" customHeight="false" outlineLevel="0" collapsed="false">
      <c r="A85" s="12" t="s">
        <v>224</v>
      </c>
      <c r="B85" s="21" t="s">
        <v>208</v>
      </c>
      <c r="C85" s="12" t="s">
        <v>163</v>
      </c>
      <c r="D85" s="12" t="s">
        <v>225</v>
      </c>
      <c r="E85" s="12" t="s">
        <v>538</v>
      </c>
      <c r="F85" s="25" t="n">
        <f aca="false">IFERROR(INDEX(ModelAnswers!$F$2:$F$176,MATCH($A85,ModelAnswers!$A$2:$A$176,0)),"")</f>
        <v>0</v>
      </c>
      <c r="G85" s="26" t="s">
        <v>533</v>
      </c>
      <c r="H85" s="27" t="n">
        <f aca="false">IFERROR(INDEX(ModelAnswers!$G$2:$G$176,MATCH($A85,ModelAnswers!$A$2:$A$176,0)),"")</f>
        <v>0</v>
      </c>
      <c r="I85" s="28" t="str">
        <f aca="false">IF($H85="","",IF(EXACT(TRIM($G85),TRIM($H85)),1,0))</f>
        <v/>
      </c>
      <c r="J85" s="29"/>
      <c r="K85" s="14"/>
      <c r="L85" s="14"/>
      <c r="M85" s="30"/>
    </row>
    <row r="86" customFormat="false" ht="57.45" hidden="false" customHeight="false" outlineLevel="0" collapsed="false">
      <c r="A86" s="12" t="s">
        <v>226</v>
      </c>
      <c r="B86" s="21" t="s">
        <v>208</v>
      </c>
      <c r="C86" s="12" t="s">
        <v>47</v>
      </c>
      <c r="D86" s="12" t="s">
        <v>227</v>
      </c>
      <c r="E86" s="12" t="s">
        <v>539</v>
      </c>
      <c r="F86" s="25" t="n">
        <f aca="false">IFERROR(INDEX(ModelAnswers!$F$2:$F$176,MATCH($A86,ModelAnswers!$A$2:$A$176,0)),"")</f>
        <v>0</v>
      </c>
      <c r="G86" s="26" t="s">
        <v>523</v>
      </c>
      <c r="H86" s="27" t="n">
        <f aca="false">IFERROR(INDEX(ModelAnswers!$G$2:$G$176,MATCH($A86,ModelAnswers!$A$2:$A$176,0)),"")</f>
        <v>0</v>
      </c>
      <c r="I86" s="28" t="str">
        <f aca="false">IF($H86="","",IF(EXACT(TRIM($G86),TRIM($H86)),1,0))</f>
        <v/>
      </c>
      <c r="J86" s="29"/>
      <c r="K86" s="14"/>
      <c r="L86" s="14"/>
      <c r="M86" s="30"/>
    </row>
    <row r="87" customFormat="false" ht="68.65" hidden="false" customHeight="false" outlineLevel="0" collapsed="false">
      <c r="A87" s="12" t="s">
        <v>228</v>
      </c>
      <c r="B87" s="21" t="s">
        <v>208</v>
      </c>
      <c r="C87" s="12" t="s">
        <v>58</v>
      </c>
      <c r="D87" s="12" t="s">
        <v>229</v>
      </c>
      <c r="E87" s="12" t="s">
        <v>540</v>
      </c>
      <c r="F87" s="25" t="n">
        <f aca="false">IFERROR(INDEX(ModelAnswers!$F$2:$F$176,MATCH($A87,ModelAnswers!$A$2:$A$176,0)),"")</f>
        <v>0</v>
      </c>
      <c r="G87" s="26" t="s">
        <v>525</v>
      </c>
      <c r="H87" s="27" t="n">
        <f aca="false">IFERROR(INDEX(ModelAnswers!$G$2:$G$176,MATCH($A87,ModelAnswers!$A$2:$A$176,0)),"")</f>
        <v>0</v>
      </c>
      <c r="I87" s="28" t="str">
        <f aca="false">IF($H87="","",IF(EXACT(TRIM($G87),TRIM($H87)),1,0))</f>
        <v/>
      </c>
      <c r="J87" s="29"/>
      <c r="K87" s="14"/>
      <c r="L87" s="14"/>
      <c r="M87" s="30"/>
    </row>
    <row r="88" customFormat="false" ht="35.05" hidden="false" customHeight="false" outlineLevel="0" collapsed="false">
      <c r="A88" s="12" t="s">
        <v>230</v>
      </c>
      <c r="B88" s="21" t="s">
        <v>208</v>
      </c>
      <c r="C88" s="12" t="s">
        <v>55</v>
      </c>
      <c r="D88" s="12" t="s">
        <v>231</v>
      </c>
      <c r="E88" s="12" t="s">
        <v>541</v>
      </c>
      <c r="F88" s="25" t="n">
        <f aca="false">IFERROR(INDEX(ModelAnswers!$F$2:$F$176,MATCH($A88,ModelAnswers!$A$2:$A$176,0)),"")</f>
        <v>0</v>
      </c>
      <c r="G88" s="26" t="s">
        <v>527</v>
      </c>
      <c r="H88" s="27" t="n">
        <f aca="false">IFERROR(INDEX(ModelAnswers!$G$2:$G$176,MATCH($A88,ModelAnswers!$A$2:$A$176,0)),"")</f>
        <v>0</v>
      </c>
      <c r="I88" s="28" t="str">
        <f aca="false">IF($H88="","",IF(EXACT(TRIM($G88),TRIM($H88)),1,0))</f>
        <v/>
      </c>
      <c r="J88" s="29"/>
      <c r="K88" s="14"/>
      <c r="L88" s="14"/>
      <c r="M88" s="30"/>
    </row>
    <row r="89" customFormat="false" ht="35.05" hidden="false" customHeight="false" outlineLevel="0" collapsed="false">
      <c r="A89" s="12" t="s">
        <v>232</v>
      </c>
      <c r="B89" s="21" t="s">
        <v>208</v>
      </c>
      <c r="C89" s="12" t="s">
        <v>163</v>
      </c>
      <c r="D89" s="12" t="s">
        <v>233</v>
      </c>
      <c r="E89" s="12" t="s">
        <v>542</v>
      </c>
      <c r="F89" s="25" t="n">
        <f aca="false">IFERROR(INDEX(ModelAnswers!$F$2:$F$176,MATCH($A89,ModelAnswers!$A$2:$A$176,0)),"")</f>
        <v>0</v>
      </c>
      <c r="G89" s="26" t="s">
        <v>533</v>
      </c>
      <c r="H89" s="27" t="n">
        <f aca="false">IFERROR(INDEX(ModelAnswers!$G$2:$G$176,MATCH($A89,ModelAnswers!$A$2:$A$176,0)),"")</f>
        <v>0</v>
      </c>
      <c r="I89" s="28" t="str">
        <f aca="false">IF($H89="","",IF(EXACT(TRIM($G89),TRIM($H89)),1,0))</f>
        <v/>
      </c>
      <c r="J89" s="29"/>
      <c r="K89" s="14"/>
      <c r="L89" s="14"/>
      <c r="M89" s="30"/>
    </row>
    <row r="90" customFormat="false" ht="57.45" hidden="false" customHeight="false" outlineLevel="0" collapsed="false">
      <c r="A90" s="12" t="s">
        <v>234</v>
      </c>
      <c r="B90" s="21" t="s">
        <v>208</v>
      </c>
      <c r="C90" s="12" t="s">
        <v>163</v>
      </c>
      <c r="D90" s="12" t="s">
        <v>235</v>
      </c>
      <c r="E90" s="12" t="s">
        <v>543</v>
      </c>
      <c r="F90" s="25" t="n">
        <f aca="false">IFERROR(INDEX(ModelAnswers!$F$2:$F$176,MATCH($A90,ModelAnswers!$A$2:$A$176,0)),"")</f>
        <v>0</v>
      </c>
      <c r="G90" s="26" t="s">
        <v>529</v>
      </c>
      <c r="H90" s="27" t="n">
        <f aca="false">IFERROR(INDEX(ModelAnswers!$G$2:$G$176,MATCH($A90,ModelAnswers!$A$2:$A$176,0)),"")</f>
        <v>0</v>
      </c>
      <c r="I90" s="28" t="str">
        <f aca="false">IF($H90="","",IF(EXACT(TRIM($G90),TRIM($H90)),1,0))</f>
        <v/>
      </c>
      <c r="J90" s="29"/>
      <c r="K90" s="14"/>
      <c r="L90" s="14"/>
      <c r="M90" s="30"/>
    </row>
    <row r="91" customFormat="false" ht="46.25" hidden="false" customHeight="false" outlineLevel="0" collapsed="false">
      <c r="A91" s="12" t="s">
        <v>236</v>
      </c>
      <c r="B91" s="21" t="s">
        <v>208</v>
      </c>
      <c r="C91" s="12" t="s">
        <v>64</v>
      </c>
      <c r="D91" s="12" t="s">
        <v>237</v>
      </c>
      <c r="E91" s="12" t="s">
        <v>544</v>
      </c>
      <c r="F91" s="25" t="n">
        <f aca="false">IFERROR(INDEX(ModelAnswers!$F$2:$F$176,MATCH($A91,ModelAnswers!$A$2:$A$176,0)),"")</f>
        <v>0</v>
      </c>
      <c r="G91" s="26" t="s">
        <v>537</v>
      </c>
      <c r="H91" s="27" t="n">
        <f aca="false">IFERROR(INDEX(ModelAnswers!$G$2:$G$176,MATCH($A91,ModelAnswers!$A$2:$A$176,0)),"")</f>
        <v>0</v>
      </c>
      <c r="I91" s="28" t="str">
        <f aca="false">IF($H91="","",IF(EXACT(TRIM($G91),TRIM($H91)),1,0))</f>
        <v/>
      </c>
      <c r="J91" s="29"/>
      <c r="K91" s="14"/>
      <c r="L91" s="14"/>
      <c r="M91" s="30"/>
    </row>
    <row r="92" customFormat="false" ht="46.25" hidden="false" customHeight="false" outlineLevel="0" collapsed="false">
      <c r="A92" s="12" t="s">
        <v>238</v>
      </c>
      <c r="B92" s="21" t="s">
        <v>208</v>
      </c>
      <c r="C92" s="12" t="s">
        <v>47</v>
      </c>
      <c r="D92" s="12" t="s">
        <v>239</v>
      </c>
      <c r="E92" s="12" t="s">
        <v>545</v>
      </c>
      <c r="F92" s="25" t="n">
        <f aca="false">IFERROR(INDEX(ModelAnswers!$F$2:$F$176,MATCH($A92,ModelAnswers!$A$2:$A$176,0)),"")</f>
        <v>0</v>
      </c>
      <c r="G92" s="26" t="s">
        <v>523</v>
      </c>
      <c r="H92" s="27" t="n">
        <f aca="false">IFERROR(INDEX(ModelAnswers!$G$2:$G$176,MATCH($A92,ModelAnswers!$A$2:$A$176,0)),"")</f>
        <v>0</v>
      </c>
      <c r="I92" s="28" t="str">
        <f aca="false">IF($H92="","",IF(EXACT(TRIM($G92),TRIM($H92)),1,0))</f>
        <v/>
      </c>
      <c r="J92" s="29"/>
      <c r="K92" s="14"/>
      <c r="L92" s="14"/>
      <c r="M92" s="30"/>
    </row>
    <row r="93" customFormat="false" ht="68.65" hidden="false" customHeight="false" outlineLevel="0" collapsed="false">
      <c r="A93" s="12" t="s">
        <v>240</v>
      </c>
      <c r="B93" s="21" t="s">
        <v>208</v>
      </c>
      <c r="C93" s="12" t="s">
        <v>58</v>
      </c>
      <c r="D93" s="12" t="s">
        <v>241</v>
      </c>
      <c r="E93" s="12" t="s">
        <v>546</v>
      </c>
      <c r="F93" s="25" t="n">
        <f aca="false">IFERROR(INDEX(ModelAnswers!$F$2:$F$176,MATCH($A93,ModelAnswers!$A$2:$A$176,0)),"")</f>
        <v>0</v>
      </c>
      <c r="G93" s="26" t="s">
        <v>525</v>
      </c>
      <c r="H93" s="27" t="n">
        <f aca="false">IFERROR(INDEX(ModelAnswers!$G$2:$G$176,MATCH($A93,ModelAnswers!$A$2:$A$176,0)),"")</f>
        <v>0</v>
      </c>
      <c r="I93" s="28" t="str">
        <f aca="false">IF($H93="","",IF(EXACT(TRIM($G93),TRIM($H93)),1,0))</f>
        <v/>
      </c>
      <c r="J93" s="29"/>
      <c r="K93" s="14"/>
      <c r="L93" s="14"/>
      <c r="M93" s="30"/>
    </row>
    <row r="94" customFormat="false" ht="23.85" hidden="false" customHeight="false" outlineLevel="0" collapsed="false">
      <c r="A94" s="12" t="s">
        <v>242</v>
      </c>
      <c r="B94" s="21" t="s">
        <v>208</v>
      </c>
      <c r="C94" s="12" t="s">
        <v>61</v>
      </c>
      <c r="D94" s="12" t="s">
        <v>243</v>
      </c>
      <c r="E94" s="12" t="s">
        <v>547</v>
      </c>
      <c r="F94" s="25" t="n">
        <f aca="false">IFERROR(INDEX(ModelAnswers!$F$2:$F$176,MATCH($A94,ModelAnswers!$A$2:$A$176,0)),"")</f>
        <v>0</v>
      </c>
      <c r="G94" s="26" t="s">
        <v>527</v>
      </c>
      <c r="H94" s="27" t="n">
        <f aca="false">IFERROR(INDEX(ModelAnswers!$G$2:$G$176,MATCH($A94,ModelAnswers!$A$2:$A$176,0)),"")</f>
        <v>0</v>
      </c>
      <c r="I94" s="28" t="str">
        <f aca="false">IF($H94="","",IF(EXACT(TRIM($G94),TRIM($H94)),1,0))</f>
        <v/>
      </c>
      <c r="J94" s="29"/>
      <c r="K94" s="14"/>
      <c r="L94" s="14"/>
      <c r="M94" s="30"/>
    </row>
    <row r="95" customFormat="false" ht="46.25" hidden="false" customHeight="false" outlineLevel="0" collapsed="false">
      <c r="A95" s="12" t="s">
        <v>244</v>
      </c>
      <c r="B95" s="21" t="s">
        <v>208</v>
      </c>
      <c r="C95" s="12" t="s">
        <v>72</v>
      </c>
      <c r="D95" s="12" t="s">
        <v>245</v>
      </c>
      <c r="E95" s="12" t="s">
        <v>548</v>
      </c>
      <c r="F95" s="25" t="n">
        <f aca="false">IFERROR(INDEX(ModelAnswers!$F$2:$F$176,MATCH($A95,ModelAnswers!$A$2:$A$176,0)),"")</f>
        <v>0</v>
      </c>
      <c r="G95" s="26" t="s">
        <v>535</v>
      </c>
      <c r="H95" s="27" t="n">
        <f aca="false">IFERROR(INDEX(ModelAnswers!$G$2:$G$176,MATCH($A95,ModelAnswers!$A$2:$A$176,0)),"")</f>
        <v>0</v>
      </c>
      <c r="I95" s="28" t="str">
        <f aca="false">IF($H95="","",IF(EXACT(TRIM($G95),TRIM($H95)),1,0))</f>
        <v/>
      </c>
      <c r="J95" s="29"/>
      <c r="K95" s="14"/>
      <c r="L95" s="14"/>
      <c r="M95" s="30"/>
    </row>
    <row r="96" customFormat="false" ht="57.45" hidden="false" customHeight="false" outlineLevel="0" collapsed="false">
      <c r="A96" s="12" t="s">
        <v>246</v>
      </c>
      <c r="B96" s="21" t="s">
        <v>208</v>
      </c>
      <c r="C96" s="12" t="s">
        <v>163</v>
      </c>
      <c r="D96" s="12" t="s">
        <v>247</v>
      </c>
      <c r="E96" s="12" t="s">
        <v>549</v>
      </c>
      <c r="F96" s="25" t="n">
        <f aca="false">IFERROR(INDEX(ModelAnswers!$F$2:$F$176,MATCH($A96,ModelAnswers!$A$2:$A$176,0)),"")</f>
        <v>0</v>
      </c>
      <c r="G96" s="26" t="s">
        <v>531</v>
      </c>
      <c r="H96" s="27" t="n">
        <f aca="false">IFERROR(INDEX(ModelAnswers!$G$2:$G$176,MATCH($A96,ModelAnswers!$A$2:$A$176,0)),"")</f>
        <v>0</v>
      </c>
      <c r="I96" s="28" t="str">
        <f aca="false">IF($H96="","",IF(EXACT(TRIM($G96),TRIM($H96)),1,0))</f>
        <v/>
      </c>
      <c r="J96" s="29"/>
      <c r="K96" s="14"/>
      <c r="L96" s="14"/>
      <c r="M96" s="30"/>
    </row>
    <row r="97" customFormat="false" ht="23.85" hidden="false" customHeight="false" outlineLevel="0" collapsed="false">
      <c r="A97" s="12" t="s">
        <v>248</v>
      </c>
      <c r="B97" s="21" t="s">
        <v>208</v>
      </c>
      <c r="C97" s="12" t="s">
        <v>47</v>
      </c>
      <c r="D97" s="12" t="s">
        <v>249</v>
      </c>
      <c r="E97" s="12" t="s">
        <v>550</v>
      </c>
      <c r="F97" s="25" t="n">
        <f aca="false">IFERROR(INDEX(ModelAnswers!$F$2:$F$176,MATCH($A97,ModelAnswers!$A$2:$A$176,0)),"")</f>
        <v>0</v>
      </c>
      <c r="G97" s="26" t="s">
        <v>523</v>
      </c>
      <c r="H97" s="27" t="n">
        <f aca="false">IFERROR(INDEX(ModelAnswers!$G$2:$G$176,MATCH($A97,ModelAnswers!$A$2:$A$176,0)),"")</f>
        <v>0</v>
      </c>
      <c r="I97" s="28" t="str">
        <f aca="false">IF($H97="","",IF(EXACT(TRIM($G97),TRIM($H97)),1,0))</f>
        <v/>
      </c>
      <c r="J97" s="29"/>
      <c r="K97" s="14"/>
      <c r="L97" s="14"/>
      <c r="M97" s="30"/>
    </row>
    <row r="98" customFormat="false" ht="35.05" hidden="false" customHeight="false" outlineLevel="0" collapsed="false">
      <c r="A98" s="12" t="s">
        <v>250</v>
      </c>
      <c r="B98" s="21" t="s">
        <v>208</v>
      </c>
      <c r="C98" s="12" t="s">
        <v>47</v>
      </c>
      <c r="D98" s="12" t="s">
        <v>251</v>
      </c>
      <c r="E98" s="12" t="s">
        <v>551</v>
      </c>
      <c r="F98" s="25" t="n">
        <f aca="false">IFERROR(INDEX(ModelAnswers!$F$2:$F$176,MATCH($A98,ModelAnswers!$A$2:$A$176,0)),"")</f>
        <v>0</v>
      </c>
      <c r="G98" s="26" t="s">
        <v>527</v>
      </c>
      <c r="H98" s="27" t="n">
        <f aca="false">IFERROR(INDEX(ModelAnswers!$G$2:$G$176,MATCH($A98,ModelAnswers!$A$2:$A$176,0)),"")</f>
        <v>0</v>
      </c>
      <c r="I98" s="28" t="str">
        <f aca="false">IF($H98="","",IF(EXACT(TRIM($G98),TRIM($H98)),1,0))</f>
        <v/>
      </c>
      <c r="J98" s="29"/>
      <c r="K98" s="14"/>
      <c r="L98" s="14"/>
      <c r="M98" s="30"/>
    </row>
    <row r="99" customFormat="false" ht="35.05" hidden="false" customHeight="false" outlineLevel="0" collapsed="false">
      <c r="A99" s="12" t="s">
        <v>252</v>
      </c>
      <c r="B99" s="21" t="s">
        <v>208</v>
      </c>
      <c r="C99" s="12" t="s">
        <v>64</v>
      </c>
      <c r="D99" s="12" t="s">
        <v>253</v>
      </c>
      <c r="E99" s="12" t="s">
        <v>552</v>
      </c>
      <c r="F99" s="25" t="n">
        <f aca="false">IFERROR(INDEX(ModelAnswers!$F$2:$F$176,MATCH($A99,ModelAnswers!$A$2:$A$176,0)),"")</f>
        <v>0</v>
      </c>
      <c r="G99" s="26" t="s">
        <v>537</v>
      </c>
      <c r="H99" s="27" t="n">
        <f aca="false">IFERROR(INDEX(ModelAnswers!$G$2:$G$176,MATCH($A99,ModelAnswers!$A$2:$A$176,0)),"")</f>
        <v>0</v>
      </c>
      <c r="I99" s="28" t="str">
        <f aca="false">IF($H99="","",IF(EXACT(TRIM($G99),TRIM($H99)),1,0))</f>
        <v/>
      </c>
      <c r="J99" s="29"/>
      <c r="K99" s="14"/>
      <c r="L99" s="14"/>
      <c r="M99" s="30"/>
    </row>
    <row r="100" customFormat="false" ht="23.85" hidden="false" customHeight="false" outlineLevel="0" collapsed="false">
      <c r="A100" s="12" t="s">
        <v>254</v>
      </c>
      <c r="B100" s="21" t="s">
        <v>208</v>
      </c>
      <c r="C100" s="12" t="s">
        <v>163</v>
      </c>
      <c r="D100" s="12" t="s">
        <v>255</v>
      </c>
      <c r="E100" s="12" t="s">
        <v>553</v>
      </c>
      <c r="F100" s="25" t="n">
        <f aca="false">IFERROR(INDEX(ModelAnswers!$F$2:$F$176,MATCH($A100,ModelAnswers!$A$2:$A$176,0)),"")</f>
        <v>0</v>
      </c>
      <c r="G100" s="26" t="s">
        <v>529</v>
      </c>
      <c r="H100" s="27" t="n">
        <f aca="false">IFERROR(INDEX(ModelAnswers!$G$2:$G$176,MATCH($A100,ModelAnswers!$A$2:$A$176,0)),"")</f>
        <v>0</v>
      </c>
      <c r="I100" s="28" t="str">
        <f aca="false">IF($H100="","",IF(EXACT(TRIM($G100),TRIM($H100)),1,0))</f>
        <v/>
      </c>
      <c r="J100" s="29"/>
      <c r="K100" s="14"/>
      <c r="L100" s="14"/>
      <c r="M100" s="30"/>
    </row>
    <row r="101" customFormat="false" ht="35.05" hidden="false" customHeight="false" outlineLevel="0" collapsed="false">
      <c r="A101" s="12" t="s">
        <v>256</v>
      </c>
      <c r="B101" s="21" t="s">
        <v>208</v>
      </c>
      <c r="C101" s="12" t="s">
        <v>58</v>
      </c>
      <c r="D101" s="12" t="s">
        <v>257</v>
      </c>
      <c r="E101" s="12" t="s">
        <v>554</v>
      </c>
      <c r="F101" s="25" t="n">
        <f aca="false">IFERROR(INDEX(ModelAnswers!$F$2:$F$176,MATCH($A101,ModelAnswers!$A$2:$A$176,0)),"")</f>
        <v>0</v>
      </c>
      <c r="G101" s="26" t="s">
        <v>525</v>
      </c>
      <c r="H101" s="27" t="n">
        <f aca="false">IFERROR(INDEX(ModelAnswers!$G$2:$G$176,MATCH($A101,ModelAnswers!$A$2:$A$176,0)),"")</f>
        <v>0</v>
      </c>
      <c r="I101" s="28" t="str">
        <f aca="false">IF($H101="","",IF(EXACT(TRIM($G101),TRIM($H101)),1,0))</f>
        <v/>
      </c>
      <c r="J101" s="29"/>
      <c r="K101" s="14"/>
      <c r="L101" s="14"/>
      <c r="M101" s="30"/>
    </row>
    <row r="102" customFormat="false" ht="91" hidden="false" customHeight="false" outlineLevel="0" collapsed="false">
      <c r="A102" s="12" t="s">
        <v>258</v>
      </c>
      <c r="B102" s="22" t="s">
        <v>259</v>
      </c>
      <c r="C102" s="12" t="s">
        <v>163</v>
      </c>
      <c r="D102" s="12" t="s">
        <v>260</v>
      </c>
      <c r="E102" s="12" t="s">
        <v>555</v>
      </c>
      <c r="F102" s="25" t="n">
        <f aca="false">IFERROR(INDEX(ModelAnswers!$F$2:$F$176,MATCH($A102,ModelAnswers!$A$2:$A$176,0)),"")</f>
        <v>0</v>
      </c>
      <c r="G102" s="26" t="s">
        <v>556</v>
      </c>
      <c r="H102" s="27" t="n">
        <f aca="false">IFERROR(INDEX(ModelAnswers!$G$2:$G$176,MATCH($A102,ModelAnswers!$A$2:$A$176,0)),"")</f>
        <v>0</v>
      </c>
      <c r="I102" s="28" t="str">
        <f aca="false">IF($H102="","",IF(EXACT(TRIM($G102),TRIM($H102)),1,0))</f>
        <v/>
      </c>
      <c r="J102" s="29"/>
      <c r="K102" s="14"/>
      <c r="L102" s="14"/>
      <c r="M102" s="30"/>
    </row>
    <row r="103" customFormat="false" ht="23.85" hidden="false" customHeight="false" outlineLevel="0" collapsed="false">
      <c r="A103" s="12" t="s">
        <v>261</v>
      </c>
      <c r="B103" s="22" t="s">
        <v>259</v>
      </c>
      <c r="C103" s="12" t="s">
        <v>64</v>
      </c>
      <c r="D103" s="12" t="s">
        <v>262</v>
      </c>
      <c r="E103" s="12" t="s">
        <v>557</v>
      </c>
      <c r="F103" s="25" t="n">
        <f aca="false">IFERROR(INDEX(ModelAnswers!$F$2:$F$176,MATCH($A103,ModelAnswers!$A$2:$A$176,0)),"")</f>
        <v>0</v>
      </c>
      <c r="G103" s="26" t="s">
        <v>556</v>
      </c>
      <c r="H103" s="27" t="n">
        <f aca="false">IFERROR(INDEX(ModelAnswers!$G$2:$G$176,MATCH($A103,ModelAnswers!$A$2:$A$176,0)),"")</f>
        <v>0</v>
      </c>
      <c r="I103" s="28" t="str">
        <f aca="false">IF($H103="","",IF(EXACT(TRIM($G103),TRIM($H103)),1,0))</f>
        <v/>
      </c>
      <c r="J103" s="29"/>
      <c r="K103" s="14"/>
      <c r="L103" s="14"/>
      <c r="M103" s="30"/>
    </row>
    <row r="104" customFormat="false" ht="57.45" hidden="false" customHeight="false" outlineLevel="0" collapsed="false">
      <c r="A104" s="12" t="s">
        <v>263</v>
      </c>
      <c r="B104" s="22" t="s">
        <v>259</v>
      </c>
      <c r="C104" s="12" t="s">
        <v>163</v>
      </c>
      <c r="D104" s="12" t="s">
        <v>264</v>
      </c>
      <c r="E104" s="12" t="s">
        <v>558</v>
      </c>
      <c r="F104" s="25" t="n">
        <f aca="false">IFERROR(INDEX(ModelAnswers!$F$2:$F$176,MATCH($A104,ModelAnswers!$A$2:$A$176,0)),"")</f>
        <v>0</v>
      </c>
      <c r="G104" s="26" t="s">
        <v>559</v>
      </c>
      <c r="H104" s="27" t="n">
        <f aca="false">IFERROR(INDEX(ModelAnswers!$G$2:$G$176,MATCH($A104,ModelAnswers!$A$2:$A$176,0)),"")</f>
        <v>0</v>
      </c>
      <c r="I104" s="28" t="str">
        <f aca="false">IF($H104="","",IF(EXACT(TRIM($G104),TRIM($H104)),1,0))</f>
        <v/>
      </c>
      <c r="J104" s="29"/>
      <c r="K104" s="14"/>
      <c r="L104" s="14"/>
      <c r="M104" s="30"/>
    </row>
    <row r="105" customFormat="false" ht="57.45" hidden="false" customHeight="false" outlineLevel="0" collapsed="false">
      <c r="A105" s="12" t="s">
        <v>265</v>
      </c>
      <c r="B105" s="22" t="s">
        <v>259</v>
      </c>
      <c r="C105" s="12" t="s">
        <v>163</v>
      </c>
      <c r="D105" s="12" t="s">
        <v>266</v>
      </c>
      <c r="E105" s="12" t="s">
        <v>560</v>
      </c>
      <c r="F105" s="25" t="n">
        <f aca="false">IFERROR(INDEX(ModelAnswers!$F$2:$F$176,MATCH($A105,ModelAnswers!$A$2:$A$176,0)),"")</f>
        <v>0</v>
      </c>
      <c r="G105" s="26" t="s">
        <v>561</v>
      </c>
      <c r="H105" s="27" t="n">
        <f aca="false">IFERROR(INDEX(ModelAnswers!$G$2:$G$176,MATCH($A105,ModelAnswers!$A$2:$A$176,0)),"")</f>
        <v>0</v>
      </c>
      <c r="I105" s="28" t="str">
        <f aca="false">IF($H105="","",IF(EXACT(TRIM($G105),TRIM($H105)),1,0))</f>
        <v/>
      </c>
      <c r="J105" s="29"/>
      <c r="K105" s="14"/>
      <c r="L105" s="14"/>
      <c r="M105" s="30"/>
    </row>
    <row r="106" customFormat="false" ht="35.05" hidden="false" customHeight="false" outlineLevel="0" collapsed="false">
      <c r="A106" s="12" t="s">
        <v>267</v>
      </c>
      <c r="B106" s="22" t="s">
        <v>259</v>
      </c>
      <c r="C106" s="12" t="s">
        <v>47</v>
      </c>
      <c r="D106" s="12" t="s">
        <v>268</v>
      </c>
      <c r="E106" s="12" t="s">
        <v>562</v>
      </c>
      <c r="F106" s="25" t="n">
        <f aca="false">IFERROR(INDEX(ModelAnswers!$F$2:$F$176,MATCH($A106,ModelAnswers!$A$2:$A$176,0)),"")</f>
        <v>0</v>
      </c>
      <c r="G106" s="26" t="s">
        <v>563</v>
      </c>
      <c r="H106" s="27" t="n">
        <f aca="false">IFERROR(INDEX(ModelAnswers!$G$2:$G$176,MATCH($A106,ModelAnswers!$A$2:$A$176,0)),"")</f>
        <v>0</v>
      </c>
      <c r="I106" s="28" t="str">
        <f aca="false">IF($H106="","",IF(EXACT(TRIM($G106),TRIM($H106)),1,0))</f>
        <v/>
      </c>
      <c r="J106" s="29"/>
      <c r="K106" s="14"/>
      <c r="L106" s="14"/>
      <c r="M106" s="30"/>
    </row>
    <row r="107" customFormat="false" ht="68.65" hidden="false" customHeight="false" outlineLevel="0" collapsed="false">
      <c r="A107" s="12" t="s">
        <v>269</v>
      </c>
      <c r="B107" s="22" t="s">
        <v>259</v>
      </c>
      <c r="C107" s="12" t="s">
        <v>67</v>
      </c>
      <c r="D107" s="12" t="s">
        <v>270</v>
      </c>
      <c r="E107" s="12" t="s">
        <v>564</v>
      </c>
      <c r="F107" s="25" t="n">
        <f aca="false">IFERROR(INDEX(ModelAnswers!$F$2:$F$176,MATCH($A107,ModelAnswers!$A$2:$A$176,0)),"")</f>
        <v>0</v>
      </c>
      <c r="G107" s="26" t="s">
        <v>565</v>
      </c>
      <c r="H107" s="27" t="n">
        <f aca="false">IFERROR(INDEX(ModelAnswers!$G$2:$G$176,MATCH($A107,ModelAnswers!$A$2:$A$176,0)),"")</f>
        <v>0</v>
      </c>
      <c r="I107" s="28" t="str">
        <f aca="false">IF($H107="","",IF(EXACT(TRIM($G107),TRIM($H107)),1,0))</f>
        <v/>
      </c>
      <c r="J107" s="29"/>
      <c r="K107" s="14"/>
      <c r="L107" s="14"/>
      <c r="M107" s="30"/>
    </row>
    <row r="108" customFormat="false" ht="57.45" hidden="false" customHeight="false" outlineLevel="0" collapsed="false">
      <c r="A108" s="12" t="s">
        <v>271</v>
      </c>
      <c r="B108" s="22" t="s">
        <v>259</v>
      </c>
      <c r="C108" s="12" t="s">
        <v>55</v>
      </c>
      <c r="D108" s="12" t="s">
        <v>272</v>
      </c>
      <c r="E108" s="12" t="s">
        <v>566</v>
      </c>
      <c r="F108" s="25" t="n">
        <f aca="false">IFERROR(INDEX(ModelAnswers!$F$2:$F$176,MATCH($A108,ModelAnswers!$A$2:$A$176,0)),"")</f>
        <v>0</v>
      </c>
      <c r="G108" s="26" t="s">
        <v>567</v>
      </c>
      <c r="H108" s="27" t="n">
        <f aca="false">IFERROR(INDEX(ModelAnswers!$G$2:$G$176,MATCH($A108,ModelAnswers!$A$2:$A$176,0)),"")</f>
        <v>0</v>
      </c>
      <c r="I108" s="28" t="str">
        <f aca="false">IF($H108="","",IF(EXACT(TRIM($G108),TRIM($H108)),1,0))</f>
        <v/>
      </c>
      <c r="J108" s="29"/>
      <c r="K108" s="14"/>
      <c r="L108" s="14"/>
      <c r="M108" s="30"/>
    </row>
    <row r="109" customFormat="false" ht="57.45" hidden="false" customHeight="false" outlineLevel="0" collapsed="false">
      <c r="A109" s="12" t="s">
        <v>273</v>
      </c>
      <c r="B109" s="22" t="s">
        <v>259</v>
      </c>
      <c r="C109" s="12" t="s">
        <v>64</v>
      </c>
      <c r="D109" s="12" t="s">
        <v>274</v>
      </c>
      <c r="E109" s="12" t="s">
        <v>568</v>
      </c>
      <c r="F109" s="25" t="n">
        <f aca="false">IFERROR(INDEX(ModelAnswers!$F$2:$F$176,MATCH($A109,ModelAnswers!$A$2:$A$176,0)),"")</f>
        <v>0</v>
      </c>
      <c r="G109" s="26" t="s">
        <v>569</v>
      </c>
      <c r="H109" s="27" t="n">
        <f aca="false">IFERROR(INDEX(ModelAnswers!$G$2:$G$176,MATCH($A109,ModelAnswers!$A$2:$A$176,0)),"")</f>
        <v>0</v>
      </c>
      <c r="I109" s="28" t="str">
        <f aca="false">IF($H109="","",IF(EXACT(TRIM($G109),TRIM($H109)),1,0))</f>
        <v/>
      </c>
      <c r="J109" s="29"/>
      <c r="K109" s="14"/>
      <c r="L109" s="14"/>
      <c r="M109" s="30"/>
    </row>
    <row r="110" customFormat="false" ht="68.65" hidden="false" customHeight="false" outlineLevel="0" collapsed="false">
      <c r="A110" s="12" t="s">
        <v>275</v>
      </c>
      <c r="B110" s="22" t="s">
        <v>259</v>
      </c>
      <c r="C110" s="12" t="s">
        <v>72</v>
      </c>
      <c r="D110" s="12" t="s">
        <v>276</v>
      </c>
      <c r="E110" s="12" t="s">
        <v>570</v>
      </c>
      <c r="F110" s="25" t="n">
        <f aca="false">IFERROR(INDEX(ModelAnswers!$F$2:$F$176,MATCH($A110,ModelAnswers!$A$2:$A$176,0)),"")</f>
        <v>0</v>
      </c>
      <c r="G110" s="26" t="s">
        <v>571</v>
      </c>
      <c r="H110" s="27" t="n">
        <f aca="false">IFERROR(INDEX(ModelAnswers!$G$2:$G$176,MATCH($A110,ModelAnswers!$A$2:$A$176,0)),"")</f>
        <v>0</v>
      </c>
      <c r="I110" s="28" t="str">
        <f aca="false">IF($H110="","",IF(EXACT(TRIM($G110),TRIM($H110)),1,0))</f>
        <v/>
      </c>
      <c r="J110" s="29"/>
      <c r="K110" s="14"/>
      <c r="L110" s="14"/>
      <c r="M110" s="30"/>
    </row>
    <row r="111" customFormat="false" ht="35.05" hidden="false" customHeight="false" outlineLevel="0" collapsed="false">
      <c r="A111" s="12" t="s">
        <v>277</v>
      </c>
      <c r="B111" s="22" t="s">
        <v>259</v>
      </c>
      <c r="C111" s="12" t="s">
        <v>55</v>
      </c>
      <c r="D111" s="12" t="s">
        <v>278</v>
      </c>
      <c r="E111" s="12" t="s">
        <v>572</v>
      </c>
      <c r="F111" s="25" t="n">
        <f aca="false">IFERROR(INDEX(ModelAnswers!$F$2:$F$176,MATCH($A111,ModelAnswers!$A$2:$A$176,0)),"")</f>
        <v>0</v>
      </c>
      <c r="G111" s="26" t="s">
        <v>567</v>
      </c>
      <c r="H111" s="27" t="n">
        <f aca="false">IFERROR(INDEX(ModelAnswers!$G$2:$G$176,MATCH($A111,ModelAnswers!$A$2:$A$176,0)),"")</f>
        <v>0</v>
      </c>
      <c r="I111" s="28" t="str">
        <f aca="false">IF($H111="","",IF(EXACT(TRIM($G111),TRIM($H111)),1,0))</f>
        <v/>
      </c>
      <c r="J111" s="29"/>
      <c r="K111" s="14"/>
      <c r="L111" s="14"/>
      <c r="M111" s="30"/>
    </row>
    <row r="112" customFormat="false" ht="79.85" hidden="false" customHeight="false" outlineLevel="0" collapsed="false">
      <c r="A112" s="12" t="s">
        <v>279</v>
      </c>
      <c r="B112" s="22" t="s">
        <v>259</v>
      </c>
      <c r="C112" s="12" t="s">
        <v>58</v>
      </c>
      <c r="D112" s="12" t="s">
        <v>280</v>
      </c>
      <c r="E112" s="12" t="s">
        <v>573</v>
      </c>
      <c r="F112" s="25" t="n">
        <f aca="false">IFERROR(INDEX(ModelAnswers!$F$2:$F$176,MATCH($A112,ModelAnswers!$A$2:$A$176,0)),"")</f>
        <v>0</v>
      </c>
      <c r="G112" s="26" t="s">
        <v>574</v>
      </c>
      <c r="H112" s="27" t="n">
        <f aca="false">IFERROR(INDEX(ModelAnswers!$G$2:$G$176,MATCH($A112,ModelAnswers!$A$2:$A$176,0)),"")</f>
        <v>0</v>
      </c>
      <c r="I112" s="28" t="str">
        <f aca="false">IF($H112="","",IF(EXACT(TRIM($G112),TRIM($H112)),1,0))</f>
        <v/>
      </c>
      <c r="J112" s="29"/>
      <c r="K112" s="14"/>
      <c r="L112" s="14"/>
      <c r="M112" s="30"/>
    </row>
    <row r="113" customFormat="false" ht="46.25" hidden="false" customHeight="false" outlineLevel="0" collapsed="false">
      <c r="A113" s="12" t="s">
        <v>281</v>
      </c>
      <c r="B113" s="22" t="s">
        <v>259</v>
      </c>
      <c r="C113" s="12" t="s">
        <v>50</v>
      </c>
      <c r="D113" s="12" t="s">
        <v>282</v>
      </c>
      <c r="E113" s="12" t="s">
        <v>575</v>
      </c>
      <c r="F113" s="25" t="n">
        <f aca="false">IFERROR(INDEX(ModelAnswers!$F$2:$F$176,MATCH($A113,ModelAnswers!$A$2:$A$176,0)),"")</f>
        <v>0</v>
      </c>
      <c r="G113" s="26" t="s">
        <v>576</v>
      </c>
      <c r="H113" s="27" t="n">
        <f aca="false">IFERROR(INDEX(ModelAnswers!$G$2:$G$176,MATCH($A113,ModelAnswers!$A$2:$A$176,0)),"")</f>
        <v>0</v>
      </c>
      <c r="I113" s="28" t="str">
        <f aca="false">IF($H113="","",IF(EXACT(TRIM($G113),TRIM($H113)),1,0))</f>
        <v/>
      </c>
      <c r="J113" s="29"/>
      <c r="K113" s="14"/>
      <c r="L113" s="14"/>
      <c r="M113" s="30"/>
    </row>
    <row r="114" customFormat="false" ht="68.65" hidden="false" customHeight="false" outlineLevel="0" collapsed="false">
      <c r="A114" s="12" t="s">
        <v>283</v>
      </c>
      <c r="B114" s="22" t="s">
        <v>259</v>
      </c>
      <c r="C114" s="12" t="s">
        <v>163</v>
      </c>
      <c r="D114" s="12" t="s">
        <v>284</v>
      </c>
      <c r="E114" s="12" t="s">
        <v>577</v>
      </c>
      <c r="F114" s="25" t="n">
        <f aca="false">IFERROR(INDEX(ModelAnswers!$F$2:$F$176,MATCH($A114,ModelAnswers!$A$2:$A$176,0)),"")</f>
        <v>0</v>
      </c>
      <c r="G114" s="26" t="s">
        <v>561</v>
      </c>
      <c r="H114" s="27" t="n">
        <f aca="false">IFERROR(INDEX(ModelAnswers!$G$2:$G$176,MATCH($A114,ModelAnswers!$A$2:$A$176,0)),"")</f>
        <v>0</v>
      </c>
      <c r="I114" s="28" t="str">
        <f aca="false">IF($H114="","",IF(EXACT(TRIM($G114),TRIM($H114)),1,0))</f>
        <v/>
      </c>
      <c r="J114" s="29"/>
      <c r="K114" s="14"/>
      <c r="L114" s="14"/>
      <c r="M114" s="30"/>
    </row>
    <row r="115" customFormat="false" ht="79.85" hidden="false" customHeight="false" outlineLevel="0" collapsed="false">
      <c r="A115" s="12" t="s">
        <v>285</v>
      </c>
      <c r="B115" s="22" t="s">
        <v>259</v>
      </c>
      <c r="C115" s="12" t="s">
        <v>163</v>
      </c>
      <c r="D115" s="12" t="s">
        <v>286</v>
      </c>
      <c r="E115" s="12" t="s">
        <v>578</v>
      </c>
      <c r="F115" s="25" t="n">
        <f aca="false">IFERROR(INDEX(ModelAnswers!$F$2:$F$176,MATCH($A115,ModelAnswers!$A$2:$A$176,0)),"")</f>
        <v>0</v>
      </c>
      <c r="G115" s="26" t="s">
        <v>559</v>
      </c>
      <c r="H115" s="27" t="n">
        <f aca="false">IFERROR(INDEX(ModelAnswers!$G$2:$G$176,MATCH($A115,ModelAnswers!$A$2:$A$176,0)),"")</f>
        <v>0</v>
      </c>
      <c r="I115" s="28" t="str">
        <f aca="false">IF($H115="","",IF(EXACT(TRIM($G115),TRIM($H115)),1,0))</f>
        <v/>
      </c>
      <c r="J115" s="29"/>
      <c r="K115" s="14"/>
      <c r="L115" s="14"/>
      <c r="M115" s="30"/>
    </row>
    <row r="116" customFormat="false" ht="68.65" hidden="false" customHeight="false" outlineLevel="0" collapsed="false">
      <c r="A116" s="12" t="s">
        <v>287</v>
      </c>
      <c r="B116" s="22" t="s">
        <v>259</v>
      </c>
      <c r="C116" s="12" t="s">
        <v>58</v>
      </c>
      <c r="D116" s="12" t="s">
        <v>288</v>
      </c>
      <c r="E116" s="12" t="s">
        <v>579</v>
      </c>
      <c r="F116" s="25" t="n">
        <f aca="false">IFERROR(INDEX(ModelAnswers!$F$2:$F$176,MATCH($A116,ModelAnswers!$A$2:$A$176,0)),"")</f>
        <v>0</v>
      </c>
      <c r="G116" s="26" t="s">
        <v>574</v>
      </c>
      <c r="H116" s="27" t="n">
        <f aca="false">IFERROR(INDEX(ModelAnswers!$G$2:$G$176,MATCH($A116,ModelAnswers!$A$2:$A$176,0)),"")</f>
        <v>0</v>
      </c>
      <c r="I116" s="28" t="str">
        <f aca="false">IF($H116="","",IF(EXACT(TRIM($G116),TRIM($H116)),1,0))</f>
        <v/>
      </c>
      <c r="J116" s="29"/>
      <c r="K116" s="14"/>
      <c r="L116" s="14"/>
      <c r="M116" s="30"/>
    </row>
    <row r="117" customFormat="false" ht="46.25" hidden="false" customHeight="false" outlineLevel="0" collapsed="false">
      <c r="A117" s="12" t="s">
        <v>289</v>
      </c>
      <c r="B117" s="22" t="s">
        <v>259</v>
      </c>
      <c r="C117" s="12" t="s">
        <v>55</v>
      </c>
      <c r="D117" s="12" t="s">
        <v>290</v>
      </c>
      <c r="E117" s="12" t="s">
        <v>580</v>
      </c>
      <c r="F117" s="25" t="n">
        <f aca="false">IFERROR(INDEX(ModelAnswers!$F$2:$F$176,MATCH($A117,ModelAnswers!$A$2:$A$176,0)),"")</f>
        <v>0</v>
      </c>
      <c r="G117" s="26" t="s">
        <v>567</v>
      </c>
      <c r="H117" s="27" t="n">
        <f aca="false">IFERROR(INDEX(ModelAnswers!$G$2:$G$176,MATCH($A117,ModelAnswers!$A$2:$A$176,0)),"")</f>
        <v>0</v>
      </c>
      <c r="I117" s="28" t="str">
        <f aca="false">IF($H117="","",IF(EXACT(TRIM($G117),TRIM($H117)),1,0))</f>
        <v/>
      </c>
      <c r="J117" s="29"/>
      <c r="K117" s="14"/>
      <c r="L117" s="14"/>
      <c r="M117" s="30"/>
    </row>
    <row r="118" customFormat="false" ht="35.05" hidden="false" customHeight="false" outlineLevel="0" collapsed="false">
      <c r="A118" s="12" t="s">
        <v>291</v>
      </c>
      <c r="B118" s="22" t="s">
        <v>259</v>
      </c>
      <c r="C118" s="12" t="s">
        <v>50</v>
      </c>
      <c r="D118" s="12" t="s">
        <v>292</v>
      </c>
      <c r="E118" s="12" t="s">
        <v>581</v>
      </c>
      <c r="F118" s="25" t="n">
        <f aca="false">IFERROR(INDEX(ModelAnswers!$F$2:$F$176,MATCH($A118,ModelAnswers!$A$2:$A$176,0)),"")</f>
        <v>0</v>
      </c>
      <c r="G118" s="26" t="s">
        <v>576</v>
      </c>
      <c r="H118" s="27" t="n">
        <f aca="false">IFERROR(INDEX(ModelAnswers!$G$2:$G$176,MATCH($A118,ModelAnswers!$A$2:$A$176,0)),"")</f>
        <v>0</v>
      </c>
      <c r="I118" s="28" t="str">
        <f aca="false">IF($H118="","",IF(EXACT(TRIM($G118),TRIM($H118)),1,0))</f>
        <v/>
      </c>
      <c r="J118" s="29"/>
      <c r="K118" s="14"/>
      <c r="L118" s="14"/>
      <c r="M118" s="30"/>
    </row>
    <row r="119" customFormat="false" ht="46.25" hidden="false" customHeight="false" outlineLevel="0" collapsed="false">
      <c r="A119" s="12" t="s">
        <v>293</v>
      </c>
      <c r="B119" s="22" t="s">
        <v>259</v>
      </c>
      <c r="C119" s="12" t="s">
        <v>58</v>
      </c>
      <c r="D119" s="12" t="s">
        <v>294</v>
      </c>
      <c r="E119" s="12" t="s">
        <v>582</v>
      </c>
      <c r="F119" s="25" t="n">
        <f aca="false">IFERROR(INDEX(ModelAnswers!$F$2:$F$176,MATCH($A119,ModelAnswers!$A$2:$A$176,0)),"")</f>
        <v>0</v>
      </c>
      <c r="G119" s="26" t="s">
        <v>574</v>
      </c>
      <c r="H119" s="27" t="n">
        <f aca="false">IFERROR(INDEX(ModelAnswers!$G$2:$G$176,MATCH($A119,ModelAnswers!$A$2:$A$176,0)),"")</f>
        <v>0</v>
      </c>
      <c r="I119" s="28" t="str">
        <f aca="false">IF($H119="","",IF(EXACT(TRIM($G119),TRIM($H119)),1,0))</f>
        <v/>
      </c>
      <c r="J119" s="29"/>
      <c r="K119" s="14"/>
      <c r="L119" s="14"/>
      <c r="M119" s="30"/>
    </row>
    <row r="120" customFormat="false" ht="46.25" hidden="false" customHeight="false" outlineLevel="0" collapsed="false">
      <c r="A120" s="12" t="s">
        <v>295</v>
      </c>
      <c r="B120" s="22" t="s">
        <v>259</v>
      </c>
      <c r="C120" s="12" t="s">
        <v>47</v>
      </c>
      <c r="D120" s="12" t="s">
        <v>296</v>
      </c>
      <c r="E120" s="12" t="s">
        <v>583</v>
      </c>
      <c r="F120" s="25" t="n">
        <f aca="false">IFERROR(INDEX(ModelAnswers!$F$2:$F$176,MATCH($A120,ModelAnswers!$A$2:$A$176,0)),"")</f>
        <v>0</v>
      </c>
      <c r="G120" s="26" t="s">
        <v>563</v>
      </c>
      <c r="H120" s="27" t="n">
        <f aca="false">IFERROR(INDEX(ModelAnswers!$G$2:$G$176,MATCH($A120,ModelAnswers!$A$2:$A$176,0)),"")</f>
        <v>0</v>
      </c>
      <c r="I120" s="28" t="str">
        <f aca="false">IF($H120="","",IF(EXACT(TRIM($G120),TRIM($H120)),1,0))</f>
        <v/>
      </c>
      <c r="J120" s="29"/>
      <c r="K120" s="14"/>
      <c r="L120" s="14"/>
      <c r="M120" s="30"/>
    </row>
    <row r="121" customFormat="false" ht="35.05" hidden="false" customHeight="false" outlineLevel="0" collapsed="false">
      <c r="A121" s="12" t="s">
        <v>297</v>
      </c>
      <c r="B121" s="22" t="s">
        <v>259</v>
      </c>
      <c r="C121" s="12" t="s">
        <v>64</v>
      </c>
      <c r="D121" s="12" t="s">
        <v>298</v>
      </c>
      <c r="E121" s="12" t="s">
        <v>584</v>
      </c>
      <c r="F121" s="25" t="n">
        <f aca="false">IFERROR(INDEX(ModelAnswers!$F$2:$F$176,MATCH($A121,ModelAnswers!$A$2:$A$176,0)),"")</f>
        <v>0</v>
      </c>
      <c r="G121" s="26" t="s">
        <v>569</v>
      </c>
      <c r="H121" s="27" t="n">
        <f aca="false">IFERROR(INDEX(ModelAnswers!$G$2:$G$176,MATCH($A121,ModelAnswers!$A$2:$A$176,0)),"")</f>
        <v>0</v>
      </c>
      <c r="I121" s="28" t="str">
        <f aca="false">IF($H121="","",IF(EXACT(TRIM($G121),TRIM($H121)),1,0))</f>
        <v/>
      </c>
      <c r="J121" s="29"/>
      <c r="K121" s="14"/>
      <c r="L121" s="14"/>
      <c r="M121" s="30"/>
    </row>
    <row r="122" customFormat="false" ht="46.25" hidden="false" customHeight="false" outlineLevel="0" collapsed="false">
      <c r="A122" s="12" t="s">
        <v>299</v>
      </c>
      <c r="B122" s="22" t="s">
        <v>259</v>
      </c>
      <c r="C122" s="12" t="s">
        <v>163</v>
      </c>
      <c r="D122" s="12" t="s">
        <v>300</v>
      </c>
      <c r="E122" s="12" t="s">
        <v>585</v>
      </c>
      <c r="F122" s="25" t="n">
        <f aca="false">IFERROR(INDEX(ModelAnswers!$F$2:$F$176,MATCH($A122,ModelAnswers!$A$2:$A$176,0)),"")</f>
        <v>0</v>
      </c>
      <c r="G122" s="26" t="s">
        <v>559</v>
      </c>
      <c r="H122" s="27" t="n">
        <f aca="false">IFERROR(INDEX(ModelAnswers!$G$2:$G$176,MATCH($A122,ModelAnswers!$A$2:$A$176,0)),"")</f>
        <v>0</v>
      </c>
      <c r="I122" s="28" t="str">
        <f aca="false">IF($H122="","",IF(EXACT(TRIM($G122),TRIM($H122)),1,0))</f>
        <v/>
      </c>
      <c r="J122" s="29"/>
      <c r="K122" s="14"/>
      <c r="L122" s="14"/>
      <c r="M122" s="30"/>
    </row>
    <row r="123" customFormat="false" ht="35.05" hidden="false" customHeight="false" outlineLevel="0" collapsed="false">
      <c r="A123" s="12" t="s">
        <v>301</v>
      </c>
      <c r="B123" s="22" t="s">
        <v>259</v>
      </c>
      <c r="C123" s="12" t="s">
        <v>163</v>
      </c>
      <c r="D123" s="12" t="s">
        <v>302</v>
      </c>
      <c r="E123" s="12" t="s">
        <v>586</v>
      </c>
      <c r="F123" s="25" t="n">
        <f aca="false">IFERROR(INDEX(ModelAnswers!$F$2:$F$176,MATCH($A123,ModelAnswers!$A$2:$A$176,0)),"")</f>
        <v>0</v>
      </c>
      <c r="G123" s="26" t="s">
        <v>561</v>
      </c>
      <c r="H123" s="27" t="n">
        <f aca="false">IFERROR(INDEX(ModelAnswers!$G$2:$G$176,MATCH($A123,ModelAnswers!$A$2:$A$176,0)),"")</f>
        <v>0</v>
      </c>
      <c r="I123" s="28" t="str">
        <f aca="false">IF($H123="","",IF(EXACT(TRIM($G123),TRIM($H123)),1,0))</f>
        <v/>
      </c>
      <c r="J123" s="29"/>
      <c r="K123" s="14"/>
      <c r="L123" s="14"/>
      <c r="M123" s="30"/>
    </row>
    <row r="124" customFormat="false" ht="46.25" hidden="false" customHeight="false" outlineLevel="0" collapsed="false">
      <c r="A124" s="12" t="s">
        <v>303</v>
      </c>
      <c r="B124" s="22" t="s">
        <v>259</v>
      </c>
      <c r="C124" s="12" t="s">
        <v>163</v>
      </c>
      <c r="D124" s="12" t="s">
        <v>304</v>
      </c>
      <c r="E124" s="12" t="s">
        <v>587</v>
      </c>
      <c r="F124" s="25" t="n">
        <f aca="false">IFERROR(INDEX(ModelAnswers!$F$2:$F$176,MATCH($A124,ModelAnswers!$A$2:$A$176,0)),"")</f>
        <v>0</v>
      </c>
      <c r="G124" s="26" t="s">
        <v>556</v>
      </c>
      <c r="H124" s="27" t="n">
        <f aca="false">IFERROR(INDEX(ModelAnswers!$G$2:$G$176,MATCH($A124,ModelAnswers!$A$2:$A$176,0)),"")</f>
        <v>0</v>
      </c>
      <c r="I124" s="28" t="str">
        <f aca="false">IF($H124="","",IF(EXACT(TRIM($G124),TRIM($H124)),1,0))</f>
        <v/>
      </c>
      <c r="J124" s="29"/>
      <c r="K124" s="14"/>
      <c r="L124" s="14"/>
      <c r="M124" s="30"/>
    </row>
    <row r="125" customFormat="false" ht="35.05" hidden="false" customHeight="false" outlineLevel="0" collapsed="false">
      <c r="A125" s="12" t="s">
        <v>305</v>
      </c>
      <c r="B125" s="22" t="s">
        <v>259</v>
      </c>
      <c r="C125" s="12" t="s">
        <v>67</v>
      </c>
      <c r="D125" s="12" t="s">
        <v>306</v>
      </c>
      <c r="E125" s="12" t="s">
        <v>588</v>
      </c>
      <c r="F125" s="25" t="n">
        <f aca="false">IFERROR(INDEX(ModelAnswers!$F$2:$F$176,MATCH($A125,ModelAnswers!$A$2:$A$176,0)),"")</f>
        <v>0</v>
      </c>
      <c r="G125" s="26" t="s">
        <v>565</v>
      </c>
      <c r="H125" s="27" t="n">
        <f aca="false">IFERROR(INDEX(ModelAnswers!$G$2:$G$176,MATCH($A125,ModelAnswers!$A$2:$A$176,0)),"")</f>
        <v>0</v>
      </c>
      <c r="I125" s="28" t="str">
        <f aca="false">IF($H125="","",IF(EXACT(TRIM($G125),TRIM($H125)),1,0))</f>
        <v/>
      </c>
      <c r="J125" s="29"/>
      <c r="K125" s="14"/>
      <c r="L125" s="14"/>
      <c r="M125" s="30"/>
    </row>
    <row r="126" customFormat="false" ht="35.05" hidden="false" customHeight="false" outlineLevel="0" collapsed="false">
      <c r="A126" s="12" t="s">
        <v>307</v>
      </c>
      <c r="B126" s="22" t="s">
        <v>259</v>
      </c>
      <c r="C126" s="12" t="s">
        <v>50</v>
      </c>
      <c r="D126" s="12" t="s">
        <v>308</v>
      </c>
      <c r="E126" s="12" t="s">
        <v>589</v>
      </c>
      <c r="F126" s="25" t="n">
        <f aca="false">IFERROR(INDEX(ModelAnswers!$F$2:$F$176,MATCH($A126,ModelAnswers!$A$2:$A$176,0)),"")</f>
        <v>0</v>
      </c>
      <c r="G126" s="26" t="s">
        <v>576</v>
      </c>
      <c r="H126" s="27" t="n">
        <f aca="false">IFERROR(INDEX(ModelAnswers!$G$2:$G$176,MATCH($A126,ModelAnswers!$A$2:$A$176,0)),"")</f>
        <v>0</v>
      </c>
      <c r="I126" s="28" t="str">
        <f aca="false">IF($H126="","",IF(EXACT(TRIM($G126),TRIM($H126)),1,0))</f>
        <v/>
      </c>
      <c r="J126" s="29"/>
      <c r="K126" s="14"/>
      <c r="L126" s="14"/>
      <c r="M126" s="30"/>
    </row>
    <row r="127" customFormat="false" ht="46.25" hidden="false" customHeight="false" outlineLevel="0" collapsed="false">
      <c r="A127" s="12" t="s">
        <v>309</v>
      </c>
      <c r="B127" s="23" t="s">
        <v>310</v>
      </c>
      <c r="C127" s="12" t="s">
        <v>50</v>
      </c>
      <c r="D127" s="12" t="s">
        <v>311</v>
      </c>
      <c r="E127" s="12" t="s">
        <v>590</v>
      </c>
      <c r="F127" s="25" t="n">
        <f aca="false">IFERROR(INDEX(ModelAnswers!$F$2:$F$176,MATCH($A127,ModelAnswers!$A$2:$A$176,0)),"")</f>
        <v>0</v>
      </c>
      <c r="G127" s="26" t="s">
        <v>591</v>
      </c>
      <c r="H127" s="27" t="n">
        <f aca="false">IFERROR(INDEX(ModelAnswers!$G$2:$G$176,MATCH($A127,ModelAnswers!$A$2:$A$176,0)),"")</f>
        <v>0</v>
      </c>
      <c r="I127" s="28" t="str">
        <f aca="false">IF($H127="","",IF(EXACT(TRIM($G127),TRIM($H127)),1,0))</f>
        <v/>
      </c>
      <c r="J127" s="29"/>
      <c r="K127" s="14"/>
      <c r="L127" s="14"/>
      <c r="M127" s="30"/>
    </row>
    <row r="128" customFormat="false" ht="57.45" hidden="false" customHeight="false" outlineLevel="0" collapsed="false">
      <c r="A128" s="12" t="s">
        <v>312</v>
      </c>
      <c r="B128" s="23" t="s">
        <v>310</v>
      </c>
      <c r="C128" s="12" t="s">
        <v>50</v>
      </c>
      <c r="D128" s="12" t="s">
        <v>313</v>
      </c>
      <c r="E128" s="12" t="s">
        <v>592</v>
      </c>
      <c r="F128" s="25" t="n">
        <f aca="false">IFERROR(INDEX(ModelAnswers!$F$2:$F$176,MATCH($A128,ModelAnswers!$A$2:$A$176,0)),"")</f>
        <v>0</v>
      </c>
      <c r="G128" s="26" t="s">
        <v>591</v>
      </c>
      <c r="H128" s="27" t="n">
        <f aca="false">IFERROR(INDEX(ModelAnswers!$G$2:$G$176,MATCH($A128,ModelAnswers!$A$2:$A$176,0)),"")</f>
        <v>0</v>
      </c>
      <c r="I128" s="28" t="str">
        <f aca="false">IF($H128="","",IF(EXACT(TRIM($G128),TRIM($H128)),1,0))</f>
        <v/>
      </c>
      <c r="J128" s="29"/>
      <c r="K128" s="14"/>
      <c r="L128" s="14"/>
      <c r="M128" s="30"/>
    </row>
    <row r="129" customFormat="false" ht="46.25" hidden="false" customHeight="false" outlineLevel="0" collapsed="false">
      <c r="A129" s="12" t="s">
        <v>314</v>
      </c>
      <c r="B129" s="23" t="s">
        <v>310</v>
      </c>
      <c r="C129" s="12" t="s">
        <v>163</v>
      </c>
      <c r="D129" s="12" t="s">
        <v>315</v>
      </c>
      <c r="E129" s="12" t="s">
        <v>593</v>
      </c>
      <c r="F129" s="25" t="n">
        <f aca="false">IFERROR(INDEX(ModelAnswers!$F$2:$F$176,MATCH($A129,ModelAnswers!$A$2:$A$176,0)),"")</f>
        <v>0</v>
      </c>
      <c r="G129" s="26" t="s">
        <v>594</v>
      </c>
      <c r="H129" s="27" t="n">
        <f aca="false">IFERROR(INDEX(ModelAnswers!$G$2:$G$176,MATCH($A129,ModelAnswers!$A$2:$A$176,0)),"")</f>
        <v>0</v>
      </c>
      <c r="I129" s="28" t="str">
        <f aca="false">IF($H129="","",IF(EXACT(TRIM($G129),TRIM($H129)),1,0))</f>
        <v/>
      </c>
      <c r="J129" s="29"/>
      <c r="K129" s="14"/>
      <c r="L129" s="14"/>
      <c r="M129" s="30"/>
    </row>
    <row r="130" customFormat="false" ht="57.45" hidden="false" customHeight="false" outlineLevel="0" collapsed="false">
      <c r="A130" s="12" t="s">
        <v>316</v>
      </c>
      <c r="B130" s="23" t="s">
        <v>310</v>
      </c>
      <c r="C130" s="12" t="s">
        <v>55</v>
      </c>
      <c r="D130" s="12" t="s">
        <v>317</v>
      </c>
      <c r="E130" s="12" t="s">
        <v>595</v>
      </c>
      <c r="F130" s="25" t="n">
        <f aca="false">IFERROR(INDEX(ModelAnswers!$F$2:$F$176,MATCH($A130,ModelAnswers!$A$2:$A$176,0)),"")</f>
        <v>0</v>
      </c>
      <c r="G130" s="26" t="s">
        <v>594</v>
      </c>
      <c r="H130" s="27" t="n">
        <f aca="false">IFERROR(INDEX(ModelAnswers!$G$2:$G$176,MATCH($A130,ModelAnswers!$A$2:$A$176,0)),"")</f>
        <v>0</v>
      </c>
      <c r="I130" s="28" t="str">
        <f aca="false">IF($H130="","",IF(EXACT(TRIM($G130),TRIM($H130)),1,0))</f>
        <v/>
      </c>
      <c r="J130" s="29"/>
      <c r="K130" s="14"/>
      <c r="L130" s="14"/>
      <c r="M130" s="30"/>
    </row>
    <row r="131" customFormat="false" ht="46.25" hidden="false" customHeight="false" outlineLevel="0" collapsed="false">
      <c r="A131" s="12" t="s">
        <v>318</v>
      </c>
      <c r="B131" s="23" t="s">
        <v>310</v>
      </c>
      <c r="C131" s="12" t="s">
        <v>61</v>
      </c>
      <c r="D131" s="12" t="s">
        <v>319</v>
      </c>
      <c r="E131" s="12" t="s">
        <v>596</v>
      </c>
      <c r="F131" s="25" t="n">
        <f aca="false">IFERROR(INDEX(ModelAnswers!$F$2:$F$176,MATCH($A131,ModelAnswers!$A$2:$A$176,0)),"")</f>
        <v>0</v>
      </c>
      <c r="G131" s="26" t="s">
        <v>597</v>
      </c>
      <c r="H131" s="27" t="n">
        <f aca="false">IFERROR(INDEX(ModelAnswers!$G$2:$G$176,MATCH($A131,ModelAnswers!$A$2:$A$176,0)),"")</f>
        <v>0</v>
      </c>
      <c r="I131" s="28" t="str">
        <f aca="false">IF($H131="","",IF(EXACT(TRIM($G131),TRIM($H131)),1,0))</f>
        <v/>
      </c>
      <c r="J131" s="29"/>
      <c r="K131" s="14"/>
      <c r="L131" s="14"/>
      <c r="M131" s="30"/>
    </row>
    <row r="132" customFormat="false" ht="46.25" hidden="false" customHeight="false" outlineLevel="0" collapsed="false">
      <c r="A132" s="12" t="s">
        <v>320</v>
      </c>
      <c r="B132" s="23" t="s">
        <v>310</v>
      </c>
      <c r="C132" s="12" t="s">
        <v>163</v>
      </c>
      <c r="D132" s="12" t="s">
        <v>321</v>
      </c>
      <c r="E132" s="12" t="s">
        <v>598</v>
      </c>
      <c r="F132" s="25" t="n">
        <f aca="false">IFERROR(INDEX(ModelAnswers!$F$2:$F$176,MATCH($A132,ModelAnswers!$A$2:$A$176,0)),"")</f>
        <v>0</v>
      </c>
      <c r="G132" s="26" t="s">
        <v>599</v>
      </c>
      <c r="H132" s="27" t="n">
        <f aca="false">IFERROR(INDEX(ModelAnswers!$G$2:$G$176,MATCH($A132,ModelAnswers!$A$2:$A$176,0)),"")</f>
        <v>0</v>
      </c>
      <c r="I132" s="28" t="str">
        <f aca="false">IF($H132="","",IF(EXACT(TRIM($G132),TRIM($H132)),1,0))</f>
        <v/>
      </c>
      <c r="J132" s="29"/>
      <c r="K132" s="14"/>
      <c r="L132" s="14"/>
      <c r="M132" s="30"/>
    </row>
    <row r="133" customFormat="false" ht="46.25" hidden="false" customHeight="false" outlineLevel="0" collapsed="false">
      <c r="A133" s="12" t="s">
        <v>322</v>
      </c>
      <c r="B133" s="23" t="s">
        <v>310</v>
      </c>
      <c r="C133" s="12" t="s">
        <v>61</v>
      </c>
      <c r="D133" s="12" t="s">
        <v>323</v>
      </c>
      <c r="E133" s="12" t="s">
        <v>600</v>
      </c>
      <c r="F133" s="25" t="n">
        <f aca="false">IFERROR(INDEX(ModelAnswers!$F$2:$F$176,MATCH($A133,ModelAnswers!$A$2:$A$176,0)),"")</f>
        <v>0</v>
      </c>
      <c r="G133" s="26" t="s">
        <v>601</v>
      </c>
      <c r="H133" s="27" t="n">
        <f aca="false">IFERROR(INDEX(ModelAnswers!$G$2:$G$176,MATCH($A133,ModelAnswers!$A$2:$A$176,0)),"")</f>
        <v>0</v>
      </c>
      <c r="I133" s="28" t="str">
        <f aca="false">IF($H133="","",IF(EXACT(TRIM($G133),TRIM($H133)),1,0))</f>
        <v/>
      </c>
      <c r="J133" s="29"/>
      <c r="K133" s="14"/>
      <c r="L133" s="14"/>
      <c r="M133" s="30"/>
    </row>
    <row r="134" customFormat="false" ht="57.45" hidden="false" customHeight="false" outlineLevel="0" collapsed="false">
      <c r="A134" s="12" t="s">
        <v>324</v>
      </c>
      <c r="B134" s="23" t="s">
        <v>310</v>
      </c>
      <c r="C134" s="12" t="s">
        <v>163</v>
      </c>
      <c r="D134" s="12" t="s">
        <v>325</v>
      </c>
      <c r="E134" s="12" t="s">
        <v>602</v>
      </c>
      <c r="F134" s="25" t="n">
        <f aca="false">IFERROR(INDEX(ModelAnswers!$F$2:$F$176,MATCH($A134,ModelAnswers!$A$2:$A$176,0)),"")</f>
        <v>0</v>
      </c>
      <c r="G134" s="26" t="s">
        <v>603</v>
      </c>
      <c r="H134" s="27" t="n">
        <f aca="false">IFERROR(INDEX(ModelAnswers!$G$2:$G$176,MATCH($A134,ModelAnswers!$A$2:$A$176,0)),"")</f>
        <v>0</v>
      </c>
      <c r="I134" s="28" t="str">
        <f aca="false">IF($H134="","",IF(EXACT(TRIM($G134),TRIM($H134)),1,0))</f>
        <v/>
      </c>
      <c r="J134" s="29"/>
      <c r="K134" s="14"/>
      <c r="L134" s="14"/>
      <c r="M134" s="30"/>
    </row>
    <row r="135" customFormat="false" ht="79.85" hidden="false" customHeight="false" outlineLevel="0" collapsed="false">
      <c r="A135" s="12" t="s">
        <v>326</v>
      </c>
      <c r="B135" s="23" t="s">
        <v>310</v>
      </c>
      <c r="C135" s="12" t="s">
        <v>163</v>
      </c>
      <c r="D135" s="12" t="s">
        <v>327</v>
      </c>
      <c r="E135" s="12" t="s">
        <v>604</v>
      </c>
      <c r="F135" s="25" t="n">
        <f aca="false">IFERROR(INDEX(ModelAnswers!$F$2:$F$176,MATCH($A135,ModelAnswers!$A$2:$A$176,0)),"")</f>
        <v>0</v>
      </c>
      <c r="G135" s="26" t="s">
        <v>605</v>
      </c>
      <c r="H135" s="27" t="n">
        <f aca="false">IFERROR(INDEX(ModelAnswers!$G$2:$G$176,MATCH($A135,ModelAnswers!$A$2:$A$176,0)),"")</f>
        <v>0</v>
      </c>
      <c r="I135" s="28" t="str">
        <f aca="false">IF($H135="","",IF(EXACT(TRIM($G135),TRIM($H135)),1,0))</f>
        <v/>
      </c>
      <c r="J135" s="29"/>
      <c r="K135" s="14"/>
      <c r="L135" s="14"/>
      <c r="M135" s="30"/>
    </row>
    <row r="136" customFormat="false" ht="46.25" hidden="false" customHeight="false" outlineLevel="0" collapsed="false">
      <c r="A136" s="12" t="s">
        <v>328</v>
      </c>
      <c r="B136" s="23" t="s">
        <v>310</v>
      </c>
      <c r="C136" s="12" t="s">
        <v>64</v>
      </c>
      <c r="D136" s="12" t="s">
        <v>329</v>
      </c>
      <c r="E136" s="12" t="s">
        <v>606</v>
      </c>
      <c r="F136" s="25" t="n">
        <f aca="false">IFERROR(INDEX(ModelAnswers!$F$2:$F$176,MATCH($A136,ModelAnswers!$A$2:$A$176,0)),"")</f>
        <v>0</v>
      </c>
      <c r="G136" s="26" t="s">
        <v>607</v>
      </c>
      <c r="H136" s="27" t="n">
        <f aca="false">IFERROR(INDEX(ModelAnswers!$G$2:$G$176,MATCH($A136,ModelAnswers!$A$2:$A$176,0)),"")</f>
        <v>0</v>
      </c>
      <c r="I136" s="28" t="str">
        <f aca="false">IF($H136="","",IF(EXACT(TRIM($G136),TRIM($H136)),1,0))</f>
        <v/>
      </c>
      <c r="J136" s="29"/>
      <c r="K136" s="14"/>
      <c r="L136" s="14"/>
      <c r="M136" s="30"/>
    </row>
    <row r="137" customFormat="false" ht="46.25" hidden="false" customHeight="false" outlineLevel="0" collapsed="false">
      <c r="A137" s="12" t="s">
        <v>330</v>
      </c>
      <c r="B137" s="23" t="s">
        <v>310</v>
      </c>
      <c r="C137" s="12" t="s">
        <v>55</v>
      </c>
      <c r="D137" s="12" t="s">
        <v>331</v>
      </c>
      <c r="E137" s="12" t="s">
        <v>608</v>
      </c>
      <c r="F137" s="25" t="n">
        <f aca="false">IFERROR(INDEX(ModelAnswers!$F$2:$F$176,MATCH($A137,ModelAnswers!$A$2:$A$176,0)),"")</f>
        <v>0</v>
      </c>
      <c r="G137" s="26" t="s">
        <v>597</v>
      </c>
      <c r="H137" s="27" t="n">
        <f aca="false">IFERROR(INDEX(ModelAnswers!$G$2:$G$176,MATCH($A137,ModelAnswers!$A$2:$A$176,0)),"")</f>
        <v>0</v>
      </c>
      <c r="I137" s="28" t="str">
        <f aca="false">IF($H137="","",IF(EXACT(TRIM($G137),TRIM($H137)),1,0))</f>
        <v/>
      </c>
      <c r="J137" s="29"/>
      <c r="K137" s="14"/>
      <c r="L137" s="14"/>
      <c r="M137" s="30"/>
    </row>
    <row r="138" customFormat="false" ht="46.25" hidden="false" customHeight="false" outlineLevel="0" collapsed="false">
      <c r="A138" s="12" t="s">
        <v>332</v>
      </c>
      <c r="B138" s="23" t="s">
        <v>310</v>
      </c>
      <c r="C138" s="12" t="s">
        <v>61</v>
      </c>
      <c r="D138" s="12" t="s">
        <v>333</v>
      </c>
      <c r="E138" s="12" t="s">
        <v>609</v>
      </c>
      <c r="F138" s="25" t="n">
        <f aca="false">IFERROR(INDEX(ModelAnswers!$F$2:$F$176,MATCH($A138,ModelAnswers!$A$2:$A$176,0)),"")</f>
        <v>0</v>
      </c>
      <c r="G138" s="26" t="s">
        <v>594</v>
      </c>
      <c r="H138" s="27" t="n">
        <f aca="false">IFERROR(INDEX(ModelAnswers!$G$2:$G$176,MATCH($A138,ModelAnswers!$A$2:$A$176,0)),"")</f>
        <v>0</v>
      </c>
      <c r="I138" s="28" t="str">
        <f aca="false">IF($H138="","",IF(EXACT(TRIM($G138),TRIM($H138)),1,0))</f>
        <v/>
      </c>
      <c r="J138" s="29"/>
      <c r="K138" s="14"/>
      <c r="L138" s="14"/>
      <c r="M138" s="30"/>
    </row>
    <row r="139" customFormat="false" ht="57.45" hidden="false" customHeight="false" outlineLevel="0" collapsed="false">
      <c r="A139" s="12" t="s">
        <v>334</v>
      </c>
      <c r="B139" s="23" t="s">
        <v>310</v>
      </c>
      <c r="C139" s="12" t="s">
        <v>163</v>
      </c>
      <c r="D139" s="12" t="s">
        <v>335</v>
      </c>
      <c r="E139" s="12" t="s">
        <v>610</v>
      </c>
      <c r="F139" s="25" t="n">
        <f aca="false">IFERROR(INDEX(ModelAnswers!$F$2:$F$176,MATCH($A139,ModelAnswers!$A$2:$A$176,0)),"")</f>
        <v>0</v>
      </c>
      <c r="G139" s="26" t="s">
        <v>603</v>
      </c>
      <c r="H139" s="27" t="n">
        <f aca="false">IFERROR(INDEX(ModelAnswers!$G$2:$G$176,MATCH($A139,ModelAnswers!$A$2:$A$176,0)),"")</f>
        <v>0</v>
      </c>
      <c r="I139" s="28" t="str">
        <f aca="false">IF($H139="","",IF(EXACT(TRIM($G139),TRIM($H139)),1,0))</f>
        <v/>
      </c>
      <c r="J139" s="29"/>
      <c r="K139" s="14"/>
      <c r="L139" s="14"/>
      <c r="M139" s="30"/>
    </row>
    <row r="140" customFormat="false" ht="46.25" hidden="false" customHeight="false" outlineLevel="0" collapsed="false">
      <c r="A140" s="12" t="s">
        <v>336</v>
      </c>
      <c r="B140" s="23" t="s">
        <v>310</v>
      </c>
      <c r="C140" s="12" t="s">
        <v>163</v>
      </c>
      <c r="D140" s="12" t="s">
        <v>337</v>
      </c>
      <c r="E140" s="12" t="s">
        <v>611</v>
      </c>
      <c r="F140" s="25" t="n">
        <f aca="false">IFERROR(INDEX(ModelAnswers!$F$2:$F$176,MATCH($A140,ModelAnswers!$A$2:$A$176,0)),"")</f>
        <v>0</v>
      </c>
      <c r="G140" s="26" t="s">
        <v>605</v>
      </c>
      <c r="H140" s="27" t="n">
        <f aca="false">IFERROR(INDEX(ModelAnswers!$G$2:$G$176,MATCH($A140,ModelAnswers!$A$2:$A$176,0)),"")</f>
        <v>0</v>
      </c>
      <c r="I140" s="28" t="str">
        <f aca="false">IF($H140="","",IF(EXACT(TRIM($G140),TRIM($H140)),1,0))</f>
        <v/>
      </c>
      <c r="J140" s="29"/>
      <c r="K140" s="14"/>
      <c r="L140" s="14"/>
      <c r="M140" s="30"/>
    </row>
    <row r="141" customFormat="false" ht="57.45" hidden="false" customHeight="false" outlineLevel="0" collapsed="false">
      <c r="A141" s="12" t="s">
        <v>338</v>
      </c>
      <c r="B141" s="23" t="s">
        <v>310</v>
      </c>
      <c r="C141" s="12" t="s">
        <v>55</v>
      </c>
      <c r="D141" s="12" t="s">
        <v>339</v>
      </c>
      <c r="E141" s="12" t="s">
        <v>612</v>
      </c>
      <c r="F141" s="25" t="n">
        <f aca="false">IFERROR(INDEX(ModelAnswers!$F$2:$F$176,MATCH($A141,ModelAnswers!$A$2:$A$176,0)),"")</f>
        <v>0</v>
      </c>
      <c r="G141" s="26" t="s">
        <v>599</v>
      </c>
      <c r="H141" s="27" t="n">
        <f aca="false">IFERROR(INDEX(ModelAnswers!$G$2:$G$176,MATCH($A141,ModelAnswers!$A$2:$A$176,0)),"")</f>
        <v>0</v>
      </c>
      <c r="I141" s="28" t="str">
        <f aca="false">IF($H141="","",IF(EXACT(TRIM($G141),TRIM($H141)),1,0))</f>
        <v/>
      </c>
      <c r="J141" s="29"/>
      <c r="K141" s="14"/>
      <c r="L141" s="14"/>
      <c r="M141" s="30"/>
    </row>
    <row r="142" customFormat="false" ht="23.85" hidden="false" customHeight="false" outlineLevel="0" collapsed="false">
      <c r="A142" s="12" t="s">
        <v>340</v>
      </c>
      <c r="B142" s="23" t="s">
        <v>310</v>
      </c>
      <c r="C142" s="12" t="s">
        <v>50</v>
      </c>
      <c r="D142" s="12" t="s">
        <v>341</v>
      </c>
      <c r="E142" s="12" t="s">
        <v>613</v>
      </c>
      <c r="F142" s="25" t="n">
        <f aca="false">IFERROR(INDEX(ModelAnswers!$F$2:$F$176,MATCH($A142,ModelAnswers!$A$2:$A$176,0)),"")</f>
        <v>0</v>
      </c>
      <c r="G142" s="26" t="s">
        <v>591</v>
      </c>
      <c r="H142" s="27" t="n">
        <f aca="false">IFERROR(INDEX(ModelAnswers!$G$2:$G$176,MATCH($A142,ModelAnswers!$A$2:$A$176,0)),"")</f>
        <v>0</v>
      </c>
      <c r="I142" s="28" t="str">
        <f aca="false">IF($H142="","",IF(EXACT(TRIM($G142),TRIM($H142)),1,0))</f>
        <v/>
      </c>
      <c r="J142" s="29"/>
      <c r="K142" s="14"/>
      <c r="L142" s="14"/>
      <c r="M142" s="30"/>
    </row>
    <row r="143" customFormat="false" ht="23.85" hidden="false" customHeight="false" outlineLevel="0" collapsed="false">
      <c r="A143" s="12" t="s">
        <v>342</v>
      </c>
      <c r="B143" s="23" t="s">
        <v>310</v>
      </c>
      <c r="C143" s="12" t="s">
        <v>67</v>
      </c>
      <c r="D143" s="12" t="s">
        <v>343</v>
      </c>
      <c r="E143" s="12" t="s">
        <v>614</v>
      </c>
      <c r="F143" s="25" t="n">
        <f aca="false">IFERROR(INDEX(ModelAnswers!$F$2:$F$176,MATCH($A143,ModelAnswers!$A$2:$A$176,0)),"")</f>
        <v>0</v>
      </c>
      <c r="G143" s="26" t="s">
        <v>591</v>
      </c>
      <c r="H143" s="27" t="n">
        <f aca="false">IFERROR(INDEX(ModelAnswers!$G$2:$G$176,MATCH($A143,ModelAnswers!$A$2:$A$176,0)),"")</f>
        <v>0</v>
      </c>
      <c r="I143" s="28" t="str">
        <f aca="false">IF($H143="","",IF(EXACT(TRIM($G143),TRIM($H143)),1,0))</f>
        <v/>
      </c>
      <c r="J143" s="29"/>
      <c r="K143" s="14"/>
      <c r="L143" s="14"/>
      <c r="M143" s="30"/>
    </row>
    <row r="144" customFormat="false" ht="46.25" hidden="false" customHeight="false" outlineLevel="0" collapsed="false">
      <c r="A144" s="12" t="s">
        <v>344</v>
      </c>
      <c r="B144" s="23" t="s">
        <v>310</v>
      </c>
      <c r="C144" s="12" t="s">
        <v>163</v>
      </c>
      <c r="D144" s="12" t="s">
        <v>345</v>
      </c>
      <c r="E144" s="12" t="s">
        <v>615</v>
      </c>
      <c r="F144" s="25" t="n">
        <f aca="false">IFERROR(INDEX(ModelAnswers!$F$2:$F$176,MATCH($A144,ModelAnswers!$A$2:$A$176,0)),"")</f>
        <v>0</v>
      </c>
      <c r="G144" s="26" t="s">
        <v>616</v>
      </c>
      <c r="H144" s="27" t="n">
        <f aca="false">IFERROR(INDEX(ModelAnswers!$G$2:$G$176,MATCH($A144,ModelAnswers!$A$2:$A$176,0)),"")</f>
        <v>0</v>
      </c>
      <c r="I144" s="28" t="str">
        <f aca="false">IF($H144="","",IF(EXACT(TRIM($G144),TRIM($H144)),1,0))</f>
        <v/>
      </c>
      <c r="J144" s="29"/>
      <c r="K144" s="14"/>
      <c r="L144" s="14"/>
      <c r="M144" s="30"/>
    </row>
    <row r="145" customFormat="false" ht="46.25" hidden="false" customHeight="false" outlineLevel="0" collapsed="false">
      <c r="A145" s="12" t="s">
        <v>346</v>
      </c>
      <c r="B145" s="23" t="s">
        <v>310</v>
      </c>
      <c r="C145" s="12" t="s">
        <v>64</v>
      </c>
      <c r="D145" s="12" t="s">
        <v>347</v>
      </c>
      <c r="E145" s="12" t="s">
        <v>617</v>
      </c>
      <c r="F145" s="25" t="n">
        <f aca="false">IFERROR(INDEX(ModelAnswers!$F$2:$F$176,MATCH($A145,ModelAnswers!$A$2:$A$176,0)),"")</f>
        <v>0</v>
      </c>
      <c r="G145" s="26" t="s">
        <v>599</v>
      </c>
      <c r="H145" s="27" t="n">
        <f aca="false">IFERROR(INDEX(ModelAnswers!$G$2:$G$176,MATCH($A145,ModelAnswers!$A$2:$A$176,0)),"")</f>
        <v>0</v>
      </c>
      <c r="I145" s="28" t="str">
        <f aca="false">IF($H145="","",IF(EXACT(TRIM($G145),TRIM($H145)),1,0))</f>
        <v/>
      </c>
      <c r="J145" s="29"/>
      <c r="K145" s="14"/>
      <c r="L145" s="14"/>
      <c r="M145" s="30"/>
    </row>
    <row r="146" customFormat="false" ht="23.85" hidden="false" customHeight="false" outlineLevel="0" collapsed="false">
      <c r="A146" s="12" t="s">
        <v>348</v>
      </c>
      <c r="B146" s="23" t="s">
        <v>310</v>
      </c>
      <c r="C146" s="12" t="s">
        <v>47</v>
      </c>
      <c r="D146" s="12" t="s">
        <v>349</v>
      </c>
      <c r="E146" s="12" t="s">
        <v>618</v>
      </c>
      <c r="F146" s="25" t="n">
        <f aca="false">IFERROR(INDEX(ModelAnswers!$F$2:$F$176,MATCH($A146,ModelAnswers!$A$2:$A$176,0)),"")</f>
        <v>0</v>
      </c>
      <c r="G146" s="26" t="s">
        <v>594</v>
      </c>
      <c r="H146" s="27" t="n">
        <f aca="false">IFERROR(INDEX(ModelAnswers!$G$2:$G$176,MATCH($A146,ModelAnswers!$A$2:$A$176,0)),"")</f>
        <v>0</v>
      </c>
      <c r="I146" s="28" t="str">
        <f aca="false">IF($H146="","",IF(EXACT(TRIM($G146),TRIM($H146)),1,0))</f>
        <v/>
      </c>
      <c r="J146" s="29"/>
      <c r="K146" s="14"/>
      <c r="L146" s="14"/>
      <c r="M146" s="30"/>
    </row>
    <row r="147" customFormat="false" ht="35.05" hidden="false" customHeight="false" outlineLevel="0" collapsed="false">
      <c r="A147" s="12" t="s">
        <v>350</v>
      </c>
      <c r="B147" s="23" t="s">
        <v>310</v>
      </c>
      <c r="C147" s="12" t="s">
        <v>64</v>
      </c>
      <c r="D147" s="12" t="s">
        <v>351</v>
      </c>
      <c r="E147" s="12" t="s">
        <v>619</v>
      </c>
      <c r="F147" s="25" t="n">
        <f aca="false">IFERROR(INDEX(ModelAnswers!$F$2:$F$176,MATCH($A147,ModelAnswers!$A$2:$A$176,0)),"")</f>
        <v>0</v>
      </c>
      <c r="G147" s="26" t="s">
        <v>607</v>
      </c>
      <c r="H147" s="27" t="n">
        <f aca="false">IFERROR(INDEX(ModelAnswers!$G$2:$G$176,MATCH($A147,ModelAnswers!$A$2:$A$176,0)),"")</f>
        <v>0</v>
      </c>
      <c r="I147" s="28" t="str">
        <f aca="false">IF($H147="","",IF(EXACT(TRIM($G147),TRIM($H147)),1,0))</f>
        <v/>
      </c>
      <c r="J147" s="29"/>
      <c r="K147" s="14"/>
      <c r="L147" s="14"/>
      <c r="M147" s="30"/>
    </row>
    <row r="148" customFormat="false" ht="46.25" hidden="false" customHeight="false" outlineLevel="0" collapsed="false">
      <c r="A148" s="12" t="s">
        <v>352</v>
      </c>
      <c r="B148" s="23" t="s">
        <v>310</v>
      </c>
      <c r="C148" s="12" t="s">
        <v>61</v>
      </c>
      <c r="D148" s="12" t="s">
        <v>353</v>
      </c>
      <c r="E148" s="12" t="s">
        <v>620</v>
      </c>
      <c r="F148" s="25" t="n">
        <f aca="false">IFERROR(INDEX(ModelAnswers!$F$2:$F$176,MATCH($A148,ModelAnswers!$A$2:$A$176,0)),"")</f>
        <v>0</v>
      </c>
      <c r="G148" s="26" t="s">
        <v>601</v>
      </c>
      <c r="H148" s="27" t="n">
        <f aca="false">IFERROR(INDEX(ModelAnswers!$G$2:$G$176,MATCH($A148,ModelAnswers!$A$2:$A$176,0)),"")</f>
        <v>0</v>
      </c>
      <c r="I148" s="28" t="str">
        <f aca="false">IF($H148="","",IF(EXACT(TRIM($G148),TRIM($H148)),1,0))</f>
        <v/>
      </c>
      <c r="J148" s="29"/>
      <c r="K148" s="14"/>
      <c r="L148" s="14"/>
      <c r="M148" s="30"/>
    </row>
    <row r="149" customFormat="false" ht="46.25" hidden="false" customHeight="false" outlineLevel="0" collapsed="false">
      <c r="A149" s="12" t="s">
        <v>354</v>
      </c>
      <c r="B149" s="23" t="s">
        <v>310</v>
      </c>
      <c r="C149" s="12" t="s">
        <v>163</v>
      </c>
      <c r="D149" s="12" t="s">
        <v>355</v>
      </c>
      <c r="E149" s="12" t="s">
        <v>621</v>
      </c>
      <c r="F149" s="25" t="n">
        <f aca="false">IFERROR(INDEX(ModelAnswers!$F$2:$F$176,MATCH($A149,ModelAnswers!$A$2:$A$176,0)),"")</f>
        <v>0</v>
      </c>
      <c r="G149" s="26" t="s">
        <v>605</v>
      </c>
      <c r="H149" s="27" t="n">
        <f aca="false">IFERROR(INDEX(ModelAnswers!$G$2:$G$176,MATCH($A149,ModelAnswers!$A$2:$A$176,0)),"")</f>
        <v>0</v>
      </c>
      <c r="I149" s="28" t="str">
        <f aca="false">IF($H149="","",IF(EXACT(TRIM($G149),TRIM($H149)),1,0))</f>
        <v/>
      </c>
      <c r="J149" s="29"/>
      <c r="K149" s="14"/>
      <c r="L149" s="14"/>
      <c r="M149" s="30"/>
    </row>
    <row r="150" customFormat="false" ht="35.05" hidden="false" customHeight="false" outlineLevel="0" collapsed="false">
      <c r="A150" s="12" t="s">
        <v>356</v>
      </c>
      <c r="B150" s="23" t="s">
        <v>310</v>
      </c>
      <c r="C150" s="12" t="s">
        <v>163</v>
      </c>
      <c r="D150" s="12" t="s">
        <v>357</v>
      </c>
      <c r="E150" s="12" t="s">
        <v>622</v>
      </c>
      <c r="F150" s="25" t="n">
        <f aca="false">IFERROR(INDEX(ModelAnswers!$F$2:$F$176,MATCH($A150,ModelAnswers!$A$2:$A$176,0)),"")</f>
        <v>0</v>
      </c>
      <c r="G150" s="26" t="s">
        <v>594</v>
      </c>
      <c r="H150" s="27" t="n">
        <f aca="false">IFERROR(INDEX(ModelAnswers!$G$2:$G$176,MATCH($A150,ModelAnswers!$A$2:$A$176,0)),"")</f>
        <v>0</v>
      </c>
      <c r="I150" s="28" t="str">
        <f aca="false">IF($H150="","",IF(EXACT(TRIM($G150),TRIM($H150)),1,0))</f>
        <v/>
      </c>
      <c r="J150" s="29"/>
      <c r="K150" s="14"/>
      <c r="L150" s="14"/>
      <c r="M150" s="30"/>
    </row>
    <row r="151" customFormat="false" ht="23.85" hidden="false" customHeight="false" outlineLevel="0" collapsed="false">
      <c r="A151" s="12" t="s">
        <v>358</v>
      </c>
      <c r="B151" s="23" t="s">
        <v>310</v>
      </c>
      <c r="C151" s="12" t="s">
        <v>55</v>
      </c>
      <c r="D151" s="12" t="s">
        <v>359</v>
      </c>
      <c r="E151" s="12" t="s">
        <v>623</v>
      </c>
      <c r="F151" s="25" t="n">
        <f aca="false">IFERROR(INDEX(ModelAnswers!$F$2:$F$176,MATCH($A151,ModelAnswers!$A$2:$A$176,0)),"")</f>
        <v>0</v>
      </c>
      <c r="G151" s="26" t="s">
        <v>591</v>
      </c>
      <c r="H151" s="27" t="n">
        <f aca="false">IFERROR(INDEX(ModelAnswers!$G$2:$G$176,MATCH($A151,ModelAnswers!$A$2:$A$176,0)),"")</f>
        <v>0</v>
      </c>
      <c r="I151" s="28" t="str">
        <f aca="false">IF($H151="","",IF(EXACT(TRIM($G151),TRIM($H151)),1,0))</f>
        <v/>
      </c>
      <c r="J151" s="29"/>
      <c r="K151" s="14"/>
      <c r="L151" s="14"/>
      <c r="M151" s="30"/>
    </row>
    <row r="152" customFormat="false" ht="57.45" hidden="false" customHeight="false" outlineLevel="0" collapsed="false">
      <c r="A152" s="12" t="s">
        <v>360</v>
      </c>
      <c r="B152" s="24" t="s">
        <v>361</v>
      </c>
      <c r="C152" s="12" t="s">
        <v>50</v>
      </c>
      <c r="D152" s="12" t="s">
        <v>362</v>
      </c>
      <c r="E152" s="12" t="s">
        <v>624</v>
      </c>
      <c r="F152" s="25" t="n">
        <f aca="false">IFERROR(INDEX(ModelAnswers!$F$2:$F$176,MATCH($A152,ModelAnswers!$A$2:$A$176,0)),"")</f>
        <v>0</v>
      </c>
      <c r="G152" s="26" t="s">
        <v>625</v>
      </c>
      <c r="H152" s="27" t="n">
        <f aca="false">IFERROR(INDEX(ModelAnswers!$G$2:$G$176,MATCH($A152,ModelAnswers!$A$2:$A$176,0)),"")</f>
        <v>0</v>
      </c>
      <c r="I152" s="28" t="str">
        <f aca="false">IF($H152="","",IF(EXACT(TRIM($G152),TRIM($H152)),1,0))</f>
        <v/>
      </c>
      <c r="J152" s="29"/>
      <c r="K152" s="14"/>
      <c r="L152" s="14"/>
      <c r="M152" s="30"/>
    </row>
    <row r="153" customFormat="false" ht="57.45" hidden="false" customHeight="false" outlineLevel="0" collapsed="false">
      <c r="A153" s="12" t="s">
        <v>363</v>
      </c>
      <c r="B153" s="24" t="s">
        <v>361</v>
      </c>
      <c r="C153" s="12" t="s">
        <v>47</v>
      </c>
      <c r="D153" s="12" t="s">
        <v>364</v>
      </c>
      <c r="E153" s="12" t="s">
        <v>626</v>
      </c>
      <c r="F153" s="25" t="n">
        <f aca="false">IFERROR(INDEX(ModelAnswers!$F$2:$F$176,MATCH($A153,ModelAnswers!$A$2:$A$176,0)),"")</f>
        <v>0</v>
      </c>
      <c r="G153" s="26" t="s">
        <v>625</v>
      </c>
      <c r="H153" s="27" t="n">
        <f aca="false">IFERROR(INDEX(ModelAnswers!$G$2:$G$176,MATCH($A153,ModelAnswers!$A$2:$A$176,0)),"")</f>
        <v>0</v>
      </c>
      <c r="I153" s="28" t="str">
        <f aca="false">IF($H153="","",IF(EXACT(TRIM($G153),TRIM($H153)),1,0))</f>
        <v/>
      </c>
      <c r="J153" s="29"/>
      <c r="K153" s="14"/>
      <c r="L153" s="14"/>
      <c r="M153" s="30"/>
    </row>
    <row r="154" customFormat="false" ht="35.05" hidden="false" customHeight="false" outlineLevel="0" collapsed="false">
      <c r="A154" s="12" t="s">
        <v>365</v>
      </c>
      <c r="B154" s="24" t="s">
        <v>361</v>
      </c>
      <c r="C154" s="12" t="s">
        <v>50</v>
      </c>
      <c r="D154" s="12" t="s">
        <v>366</v>
      </c>
      <c r="E154" s="12" t="s">
        <v>627</v>
      </c>
      <c r="F154" s="25" t="n">
        <f aca="false">IFERROR(INDEX(ModelAnswers!$F$2:$F$176,MATCH($A154,ModelAnswers!$A$2:$A$176,0)),"")</f>
        <v>0</v>
      </c>
      <c r="G154" s="26" t="s">
        <v>628</v>
      </c>
      <c r="H154" s="27" t="n">
        <f aca="false">IFERROR(INDEX(ModelAnswers!$G$2:$G$176,MATCH($A154,ModelAnswers!$A$2:$A$176,0)),"")</f>
        <v>0</v>
      </c>
      <c r="I154" s="28" t="str">
        <f aca="false">IF($H154="","",IF(EXACT(TRIM($G154),TRIM($H154)),1,0))</f>
        <v/>
      </c>
      <c r="J154" s="29"/>
      <c r="K154" s="14"/>
      <c r="L154" s="14"/>
      <c r="M154" s="30"/>
    </row>
    <row r="155" customFormat="false" ht="68.65" hidden="false" customHeight="false" outlineLevel="0" collapsed="false">
      <c r="A155" s="12" t="s">
        <v>367</v>
      </c>
      <c r="B155" s="24" t="s">
        <v>361</v>
      </c>
      <c r="C155" s="12" t="s">
        <v>50</v>
      </c>
      <c r="D155" s="12" t="s">
        <v>368</v>
      </c>
      <c r="E155" s="12" t="s">
        <v>629</v>
      </c>
      <c r="F155" s="25" t="n">
        <f aca="false">IFERROR(INDEX(ModelAnswers!$F$2:$F$176,MATCH($A155,ModelAnswers!$A$2:$A$176,0)),"")</f>
        <v>0</v>
      </c>
      <c r="G155" s="26" t="s">
        <v>628</v>
      </c>
      <c r="H155" s="27" t="n">
        <f aca="false">IFERROR(INDEX(ModelAnswers!$G$2:$G$176,MATCH($A155,ModelAnswers!$A$2:$A$176,0)),"")</f>
        <v>0</v>
      </c>
      <c r="I155" s="28" t="str">
        <f aca="false">IF($H155="","",IF(EXACT(TRIM($G155),TRIM($H155)),1,0))</f>
        <v/>
      </c>
      <c r="J155" s="29"/>
      <c r="K155" s="14"/>
      <c r="L155" s="14"/>
      <c r="M155" s="30"/>
    </row>
    <row r="156" customFormat="false" ht="57.45" hidden="false" customHeight="false" outlineLevel="0" collapsed="false">
      <c r="A156" s="12" t="s">
        <v>369</v>
      </c>
      <c r="B156" s="24" t="s">
        <v>361</v>
      </c>
      <c r="C156" s="12" t="s">
        <v>55</v>
      </c>
      <c r="D156" s="12" t="s">
        <v>370</v>
      </c>
      <c r="E156" s="12" t="s">
        <v>630</v>
      </c>
      <c r="F156" s="25" t="n">
        <f aca="false">IFERROR(INDEX(ModelAnswers!$F$2:$F$176,MATCH($A156,ModelAnswers!$A$2:$A$176,0)),"")</f>
        <v>0</v>
      </c>
      <c r="G156" s="26" t="s">
        <v>631</v>
      </c>
      <c r="H156" s="27" t="n">
        <f aca="false">IFERROR(INDEX(ModelAnswers!$G$2:$G$176,MATCH($A156,ModelAnswers!$A$2:$A$176,0)),"")</f>
        <v>0</v>
      </c>
      <c r="I156" s="28" t="str">
        <f aca="false">IF($H156="","",IF(EXACT(TRIM($G156),TRIM($H156)),1,0))</f>
        <v/>
      </c>
      <c r="J156" s="29"/>
      <c r="K156" s="14"/>
      <c r="L156" s="14"/>
      <c r="M156" s="30"/>
    </row>
    <row r="157" customFormat="false" ht="35.05" hidden="false" customHeight="false" outlineLevel="0" collapsed="false">
      <c r="A157" s="12" t="s">
        <v>371</v>
      </c>
      <c r="B157" s="24" t="s">
        <v>361</v>
      </c>
      <c r="C157" s="12" t="s">
        <v>61</v>
      </c>
      <c r="D157" s="12" t="s">
        <v>372</v>
      </c>
      <c r="E157" s="12" t="s">
        <v>632</v>
      </c>
      <c r="F157" s="25" t="n">
        <f aca="false">IFERROR(INDEX(ModelAnswers!$F$2:$F$176,MATCH($A157,ModelAnswers!$A$2:$A$176,0)),"")</f>
        <v>0</v>
      </c>
      <c r="G157" s="26" t="s">
        <v>633</v>
      </c>
      <c r="H157" s="27" t="n">
        <f aca="false">IFERROR(INDEX(ModelAnswers!$G$2:$G$176,MATCH($A157,ModelAnswers!$A$2:$A$176,0)),"")</f>
        <v>0</v>
      </c>
      <c r="I157" s="28" t="str">
        <f aca="false">IF($H157="","",IF(EXACT(TRIM($G157),TRIM($H157)),1,0))</f>
        <v/>
      </c>
      <c r="J157" s="29"/>
      <c r="K157" s="14"/>
      <c r="L157" s="14"/>
      <c r="M157" s="30"/>
    </row>
    <row r="158" customFormat="false" ht="35.05" hidden="false" customHeight="false" outlineLevel="0" collapsed="false">
      <c r="A158" s="12" t="s">
        <v>373</v>
      </c>
      <c r="B158" s="24" t="s">
        <v>361</v>
      </c>
      <c r="C158" s="12" t="s">
        <v>61</v>
      </c>
      <c r="D158" s="12" t="s">
        <v>374</v>
      </c>
      <c r="E158" s="12" t="s">
        <v>634</v>
      </c>
      <c r="F158" s="25" t="n">
        <f aca="false">IFERROR(INDEX(ModelAnswers!$F$2:$F$176,MATCH($A158,ModelAnswers!$A$2:$A$176,0)),"")</f>
        <v>0</v>
      </c>
      <c r="G158" s="26" t="s">
        <v>633</v>
      </c>
      <c r="H158" s="27" t="n">
        <f aca="false">IFERROR(INDEX(ModelAnswers!$G$2:$G$176,MATCH($A158,ModelAnswers!$A$2:$A$176,0)),"")</f>
        <v>0</v>
      </c>
      <c r="I158" s="28" t="str">
        <f aca="false">IF($H158="","",IF(EXACT(TRIM($G158),TRIM($H158)),1,0))</f>
        <v/>
      </c>
      <c r="J158" s="29"/>
      <c r="K158" s="14"/>
      <c r="L158" s="14"/>
      <c r="M158" s="30"/>
    </row>
    <row r="159" customFormat="false" ht="57.45" hidden="false" customHeight="false" outlineLevel="0" collapsed="false">
      <c r="A159" s="12" t="s">
        <v>375</v>
      </c>
      <c r="B159" s="24" t="s">
        <v>361</v>
      </c>
      <c r="C159" s="12" t="s">
        <v>163</v>
      </c>
      <c r="D159" s="12" t="s">
        <v>376</v>
      </c>
      <c r="E159" s="12" t="s">
        <v>635</v>
      </c>
      <c r="F159" s="25" t="n">
        <f aca="false">IFERROR(INDEX(ModelAnswers!$F$2:$F$176,MATCH($A159,ModelAnswers!$A$2:$A$176,0)),"")</f>
        <v>0</v>
      </c>
      <c r="G159" s="26" t="s">
        <v>636</v>
      </c>
      <c r="H159" s="27" t="n">
        <f aca="false">IFERROR(INDEX(ModelAnswers!$G$2:$G$176,MATCH($A159,ModelAnswers!$A$2:$A$176,0)),"")</f>
        <v>0</v>
      </c>
      <c r="I159" s="28" t="str">
        <f aca="false">IF($H159="","",IF(EXACT(TRIM($G159),TRIM($H159)),1,0))</f>
        <v/>
      </c>
      <c r="J159" s="29"/>
      <c r="K159" s="14"/>
      <c r="L159" s="14"/>
      <c r="M159" s="30"/>
    </row>
    <row r="160" customFormat="false" ht="68.65" hidden="false" customHeight="false" outlineLevel="0" collapsed="false">
      <c r="A160" s="12" t="s">
        <v>377</v>
      </c>
      <c r="B160" s="24" t="s">
        <v>361</v>
      </c>
      <c r="C160" s="12" t="s">
        <v>163</v>
      </c>
      <c r="D160" s="12" t="s">
        <v>378</v>
      </c>
      <c r="E160" s="12" t="s">
        <v>637</v>
      </c>
      <c r="F160" s="25" t="n">
        <f aca="false">IFERROR(INDEX(ModelAnswers!$F$2:$F$176,MATCH($A160,ModelAnswers!$A$2:$A$176,0)),"")</f>
        <v>0</v>
      </c>
      <c r="G160" s="26" t="s">
        <v>636</v>
      </c>
      <c r="H160" s="27" t="n">
        <f aca="false">IFERROR(INDEX(ModelAnswers!$G$2:$G$176,MATCH($A160,ModelAnswers!$A$2:$A$176,0)),"")</f>
        <v>0</v>
      </c>
      <c r="I160" s="28" t="str">
        <f aca="false">IF($H160="","",IF(EXACT(TRIM($G160),TRIM($H160)),1,0))</f>
        <v/>
      </c>
      <c r="J160" s="29"/>
      <c r="K160" s="14"/>
      <c r="L160" s="14"/>
      <c r="M160" s="30"/>
    </row>
    <row r="161" customFormat="false" ht="35.05" hidden="false" customHeight="false" outlineLevel="0" collapsed="false">
      <c r="A161" s="12" t="s">
        <v>379</v>
      </c>
      <c r="B161" s="24" t="s">
        <v>361</v>
      </c>
      <c r="C161" s="12" t="s">
        <v>67</v>
      </c>
      <c r="D161" s="12" t="s">
        <v>380</v>
      </c>
      <c r="E161" s="12" t="s">
        <v>638</v>
      </c>
      <c r="F161" s="25" t="n">
        <f aca="false">IFERROR(INDEX(ModelAnswers!$F$2:$F$176,MATCH($A161,ModelAnswers!$A$2:$A$176,0)),"")</f>
        <v>0</v>
      </c>
      <c r="G161" s="26" t="s">
        <v>639</v>
      </c>
      <c r="H161" s="27" t="n">
        <f aca="false">IFERROR(INDEX(ModelAnswers!$G$2:$G$176,MATCH($A161,ModelAnswers!$A$2:$A$176,0)),"")</f>
        <v>0</v>
      </c>
      <c r="I161" s="28" t="str">
        <f aca="false">IF($H161="","",IF(EXACT(TRIM($G161),TRIM($H161)),1,0))</f>
        <v/>
      </c>
      <c r="J161" s="29"/>
      <c r="K161" s="14"/>
      <c r="L161" s="14"/>
      <c r="M161" s="30"/>
    </row>
    <row r="162" customFormat="false" ht="46.25" hidden="false" customHeight="false" outlineLevel="0" collapsed="false">
      <c r="A162" s="12" t="s">
        <v>381</v>
      </c>
      <c r="B162" s="24" t="s">
        <v>361</v>
      </c>
      <c r="C162" s="12" t="s">
        <v>67</v>
      </c>
      <c r="D162" s="12" t="s">
        <v>382</v>
      </c>
      <c r="E162" s="12" t="s">
        <v>640</v>
      </c>
      <c r="F162" s="25" t="n">
        <f aca="false">IFERROR(INDEX(ModelAnswers!$F$2:$F$176,MATCH($A162,ModelAnswers!$A$2:$A$176,0)),"")</f>
        <v>0</v>
      </c>
      <c r="G162" s="26" t="s">
        <v>639</v>
      </c>
      <c r="H162" s="27" t="n">
        <f aca="false">IFERROR(INDEX(ModelAnswers!$G$2:$G$176,MATCH($A162,ModelAnswers!$A$2:$A$176,0)),"")</f>
        <v>0</v>
      </c>
      <c r="I162" s="28" t="str">
        <f aca="false">IF($H162="","",IF(EXACT(TRIM($G162),TRIM($H162)),1,0))</f>
        <v/>
      </c>
      <c r="J162" s="29"/>
      <c r="K162" s="14"/>
      <c r="L162" s="14"/>
      <c r="M162" s="30"/>
    </row>
    <row r="163" customFormat="false" ht="46.25" hidden="false" customHeight="false" outlineLevel="0" collapsed="false">
      <c r="A163" s="12" t="s">
        <v>383</v>
      </c>
      <c r="B163" s="24" t="s">
        <v>361</v>
      </c>
      <c r="C163" s="12" t="s">
        <v>61</v>
      </c>
      <c r="D163" s="12" t="s">
        <v>384</v>
      </c>
      <c r="E163" s="12" t="s">
        <v>641</v>
      </c>
      <c r="F163" s="25" t="n">
        <f aca="false">IFERROR(INDEX(ModelAnswers!$F$2:$F$176,MATCH($A163,ModelAnswers!$A$2:$A$176,0)),"")</f>
        <v>0</v>
      </c>
      <c r="G163" s="26" t="s">
        <v>625</v>
      </c>
      <c r="H163" s="27" t="n">
        <f aca="false">IFERROR(INDEX(ModelAnswers!$G$2:$G$176,MATCH($A163,ModelAnswers!$A$2:$A$176,0)),"")</f>
        <v>0</v>
      </c>
      <c r="I163" s="28" t="str">
        <f aca="false">IF($H163="","",IF(EXACT(TRIM($G163),TRIM($H163)),1,0))</f>
        <v/>
      </c>
      <c r="J163" s="29"/>
      <c r="K163" s="14"/>
      <c r="L163" s="14"/>
      <c r="M163" s="30"/>
    </row>
    <row r="164" customFormat="false" ht="79.85" hidden="false" customHeight="false" outlineLevel="0" collapsed="false">
      <c r="A164" s="12" t="s">
        <v>385</v>
      </c>
      <c r="B164" s="24" t="s">
        <v>361</v>
      </c>
      <c r="C164" s="12" t="s">
        <v>55</v>
      </c>
      <c r="D164" s="12" t="s">
        <v>386</v>
      </c>
      <c r="E164" s="12" t="s">
        <v>642</v>
      </c>
      <c r="F164" s="25" t="n">
        <f aca="false">IFERROR(INDEX(ModelAnswers!$F$2:$F$176,MATCH($A164,ModelAnswers!$A$2:$A$176,0)),"")</f>
        <v>0</v>
      </c>
      <c r="G164" s="26" t="s">
        <v>631</v>
      </c>
      <c r="H164" s="27" t="n">
        <f aca="false">IFERROR(INDEX(ModelAnswers!$G$2:$G$176,MATCH($A164,ModelAnswers!$A$2:$A$176,0)),"")</f>
        <v>0</v>
      </c>
      <c r="I164" s="28" t="str">
        <f aca="false">IF($H164="","",IF(EXACT(TRIM($G164),TRIM($H164)),1,0))</f>
        <v/>
      </c>
      <c r="J164" s="29"/>
      <c r="K164" s="14"/>
      <c r="L164" s="14"/>
      <c r="M164" s="30"/>
    </row>
    <row r="165" customFormat="false" ht="57.45" hidden="false" customHeight="false" outlineLevel="0" collapsed="false">
      <c r="A165" s="12" t="s">
        <v>387</v>
      </c>
      <c r="B165" s="24" t="s">
        <v>361</v>
      </c>
      <c r="C165" s="12" t="s">
        <v>163</v>
      </c>
      <c r="D165" s="12" t="s">
        <v>388</v>
      </c>
      <c r="E165" s="12" t="s">
        <v>643</v>
      </c>
      <c r="F165" s="25" t="n">
        <f aca="false">IFERROR(INDEX(ModelAnswers!$F$2:$F$176,MATCH($A165,ModelAnswers!$A$2:$A$176,0)),"")</f>
        <v>0</v>
      </c>
      <c r="G165" s="26" t="s">
        <v>644</v>
      </c>
      <c r="H165" s="27" t="n">
        <f aca="false">IFERROR(INDEX(ModelAnswers!$G$2:$G$176,MATCH($A165,ModelAnswers!$A$2:$A$176,0)),"")</f>
        <v>0</v>
      </c>
      <c r="I165" s="28" t="str">
        <f aca="false">IF($H165="","",IF(EXACT(TRIM($G165),TRIM($H165)),1,0))</f>
        <v/>
      </c>
      <c r="J165" s="29"/>
      <c r="K165" s="14"/>
      <c r="L165" s="14"/>
      <c r="M165" s="30"/>
    </row>
    <row r="166" customFormat="false" ht="68.65" hidden="false" customHeight="false" outlineLevel="0" collapsed="false">
      <c r="A166" s="12" t="s">
        <v>389</v>
      </c>
      <c r="B166" s="24" t="s">
        <v>361</v>
      </c>
      <c r="C166" s="12" t="s">
        <v>163</v>
      </c>
      <c r="D166" s="12" t="s">
        <v>390</v>
      </c>
      <c r="E166" s="12" t="s">
        <v>645</v>
      </c>
      <c r="F166" s="25" t="n">
        <f aca="false">IFERROR(INDEX(ModelAnswers!$F$2:$F$176,MATCH($A166,ModelAnswers!$A$2:$A$176,0)),"")</f>
        <v>0</v>
      </c>
      <c r="G166" s="26" t="s">
        <v>644</v>
      </c>
      <c r="H166" s="27" t="n">
        <f aca="false">IFERROR(INDEX(ModelAnswers!$G$2:$G$176,MATCH($A166,ModelAnswers!$A$2:$A$176,0)),"")</f>
        <v>0</v>
      </c>
      <c r="I166" s="28" t="str">
        <f aca="false">IF($H166="","",IF(EXACT(TRIM($G166),TRIM($H166)),1,0))</f>
        <v/>
      </c>
      <c r="J166" s="29"/>
      <c r="K166" s="14"/>
      <c r="L166" s="14"/>
      <c r="M166" s="30"/>
    </row>
    <row r="167" customFormat="false" ht="46.25" hidden="false" customHeight="false" outlineLevel="0" collapsed="false">
      <c r="A167" s="12" t="s">
        <v>391</v>
      </c>
      <c r="B167" s="24" t="s">
        <v>361</v>
      </c>
      <c r="C167" s="12" t="s">
        <v>47</v>
      </c>
      <c r="D167" s="12" t="s">
        <v>392</v>
      </c>
      <c r="E167" s="12" t="s">
        <v>646</v>
      </c>
      <c r="F167" s="25" t="n">
        <f aca="false">IFERROR(INDEX(ModelAnswers!$F$2:$F$176,MATCH($A167,ModelAnswers!$A$2:$A$176,0)),"")</f>
        <v>0</v>
      </c>
      <c r="G167" s="26" t="s">
        <v>631</v>
      </c>
      <c r="H167" s="27" t="n">
        <f aca="false">IFERROR(INDEX(ModelAnswers!$G$2:$G$176,MATCH($A167,ModelAnswers!$A$2:$A$176,0)),"")</f>
        <v>0</v>
      </c>
      <c r="I167" s="28" t="str">
        <f aca="false">IF($H167="","",IF(EXACT(TRIM($G167),TRIM($H167)),1,0))</f>
        <v/>
      </c>
      <c r="J167" s="29"/>
      <c r="K167" s="14"/>
      <c r="L167" s="14"/>
      <c r="M167" s="30"/>
    </row>
    <row r="168" customFormat="false" ht="46.25" hidden="false" customHeight="false" outlineLevel="0" collapsed="false">
      <c r="A168" s="12" t="s">
        <v>393</v>
      </c>
      <c r="B168" s="24" t="s">
        <v>361</v>
      </c>
      <c r="C168" s="12" t="s">
        <v>61</v>
      </c>
      <c r="D168" s="12" t="s">
        <v>394</v>
      </c>
      <c r="E168" s="12" t="s">
        <v>647</v>
      </c>
      <c r="F168" s="25" t="n">
        <f aca="false">IFERROR(INDEX(ModelAnswers!$F$2:$F$176,MATCH($A168,ModelAnswers!$A$2:$A$176,0)),"")</f>
        <v>0</v>
      </c>
      <c r="G168" s="26" t="s">
        <v>633</v>
      </c>
      <c r="H168" s="27" t="n">
        <f aca="false">IFERROR(INDEX(ModelAnswers!$G$2:$G$176,MATCH($A168,ModelAnswers!$A$2:$A$176,0)),"")</f>
        <v>0</v>
      </c>
      <c r="I168" s="28" t="str">
        <f aca="false">IF($H168="","",IF(EXACT(TRIM($G168),TRIM($H168)),1,0))</f>
        <v/>
      </c>
      <c r="J168" s="29"/>
      <c r="K168" s="14"/>
      <c r="L168" s="14"/>
      <c r="M168" s="30"/>
    </row>
    <row r="169" customFormat="false" ht="35.05" hidden="false" customHeight="false" outlineLevel="0" collapsed="false">
      <c r="A169" s="12" t="s">
        <v>395</v>
      </c>
      <c r="B169" s="24" t="s">
        <v>361</v>
      </c>
      <c r="C169" s="12" t="s">
        <v>55</v>
      </c>
      <c r="D169" s="12" t="s">
        <v>396</v>
      </c>
      <c r="E169" s="12" t="s">
        <v>648</v>
      </c>
      <c r="F169" s="25" t="n">
        <f aca="false">IFERROR(INDEX(ModelAnswers!$F$2:$F$176,MATCH($A169,ModelAnswers!$A$2:$A$176,0)),"")</f>
        <v>0</v>
      </c>
      <c r="G169" s="26" t="s">
        <v>628</v>
      </c>
      <c r="H169" s="27" t="n">
        <f aca="false">IFERROR(INDEX(ModelAnswers!$G$2:$G$176,MATCH($A169,ModelAnswers!$A$2:$A$176,0)),"")</f>
        <v>0</v>
      </c>
      <c r="I169" s="28" t="str">
        <f aca="false">IF($H169="","",IF(EXACT(TRIM($G169),TRIM($H169)),1,0))</f>
        <v/>
      </c>
      <c r="J169" s="29"/>
      <c r="K169" s="14"/>
      <c r="L169" s="14"/>
      <c r="M169" s="30"/>
    </row>
    <row r="170" customFormat="false" ht="46.25" hidden="false" customHeight="false" outlineLevel="0" collapsed="false">
      <c r="A170" s="12" t="s">
        <v>397</v>
      </c>
      <c r="B170" s="24" t="s">
        <v>361</v>
      </c>
      <c r="C170" s="12" t="s">
        <v>64</v>
      </c>
      <c r="D170" s="12" t="s">
        <v>398</v>
      </c>
      <c r="E170" s="12" t="s">
        <v>649</v>
      </c>
      <c r="F170" s="25" t="n">
        <f aca="false">IFERROR(INDEX(ModelAnswers!$F$2:$F$176,MATCH($A170,ModelAnswers!$A$2:$A$176,0)),"")</f>
        <v>0</v>
      </c>
      <c r="G170" s="26" t="s">
        <v>650</v>
      </c>
      <c r="H170" s="27" t="n">
        <f aca="false">IFERROR(INDEX(ModelAnswers!$G$2:$G$176,MATCH($A170,ModelAnswers!$A$2:$A$176,0)),"")</f>
        <v>0</v>
      </c>
      <c r="I170" s="28" t="str">
        <f aca="false">IF($H170="","",IF(EXACT(TRIM($G170),TRIM($H170)),1,0))</f>
        <v/>
      </c>
      <c r="J170" s="29"/>
      <c r="K170" s="14"/>
      <c r="L170" s="14"/>
      <c r="M170" s="30"/>
    </row>
    <row r="171" customFormat="false" ht="35.05" hidden="false" customHeight="false" outlineLevel="0" collapsed="false">
      <c r="A171" s="12" t="s">
        <v>399</v>
      </c>
      <c r="B171" s="24" t="s">
        <v>361</v>
      </c>
      <c r="C171" s="12" t="s">
        <v>163</v>
      </c>
      <c r="D171" s="12" t="s">
        <v>400</v>
      </c>
      <c r="E171" s="12" t="s">
        <v>651</v>
      </c>
      <c r="F171" s="25" t="n">
        <f aca="false">IFERROR(INDEX(ModelAnswers!$F$2:$F$176,MATCH($A171,ModelAnswers!$A$2:$A$176,0)),"")</f>
        <v>0</v>
      </c>
      <c r="G171" s="26" t="s">
        <v>636</v>
      </c>
      <c r="H171" s="27" t="n">
        <f aca="false">IFERROR(INDEX(ModelAnswers!$G$2:$G$176,MATCH($A171,ModelAnswers!$A$2:$A$176,0)),"")</f>
        <v>0</v>
      </c>
      <c r="I171" s="28" t="str">
        <f aca="false">IF($H171="","",IF(EXACT(TRIM($G171),TRIM($H171)),1,0))</f>
        <v/>
      </c>
      <c r="J171" s="29"/>
      <c r="K171" s="14"/>
      <c r="L171" s="14"/>
      <c r="M171" s="30"/>
    </row>
    <row r="172" customFormat="false" ht="23.85" hidden="false" customHeight="false" outlineLevel="0" collapsed="false">
      <c r="A172" s="12" t="s">
        <v>401</v>
      </c>
      <c r="B172" s="24" t="s">
        <v>361</v>
      </c>
      <c r="C172" s="12" t="s">
        <v>61</v>
      </c>
      <c r="D172" s="12" t="s">
        <v>402</v>
      </c>
      <c r="E172" s="12" t="s">
        <v>652</v>
      </c>
      <c r="F172" s="25" t="n">
        <f aca="false">IFERROR(INDEX(ModelAnswers!$F$2:$F$176,MATCH($A172,ModelAnswers!$A$2:$A$176,0)),"")</f>
        <v>0</v>
      </c>
      <c r="G172" s="26" t="s">
        <v>633</v>
      </c>
      <c r="H172" s="27" t="n">
        <f aca="false">IFERROR(INDEX(ModelAnswers!$G$2:$G$176,MATCH($A172,ModelAnswers!$A$2:$A$176,0)),"")</f>
        <v>0</v>
      </c>
      <c r="I172" s="28" t="str">
        <f aca="false">IF($H172="","",IF(EXACT(TRIM($G172),TRIM($H172)),1,0))</f>
        <v/>
      </c>
      <c r="J172" s="29"/>
      <c r="K172" s="14"/>
      <c r="L172" s="14"/>
      <c r="M172" s="30"/>
    </row>
    <row r="173" customFormat="false" ht="23.85" hidden="false" customHeight="false" outlineLevel="0" collapsed="false">
      <c r="A173" s="12" t="s">
        <v>403</v>
      </c>
      <c r="B173" s="24" t="s">
        <v>361</v>
      </c>
      <c r="C173" s="12" t="s">
        <v>50</v>
      </c>
      <c r="D173" s="12" t="s">
        <v>404</v>
      </c>
      <c r="E173" s="12" t="s">
        <v>653</v>
      </c>
      <c r="F173" s="25" t="n">
        <f aca="false">IFERROR(INDEX(ModelAnswers!$F$2:$F$176,MATCH($A173,ModelAnswers!$A$2:$A$176,0)),"")</f>
        <v>0</v>
      </c>
      <c r="G173" s="26" t="s">
        <v>625</v>
      </c>
      <c r="H173" s="27" t="n">
        <f aca="false">IFERROR(INDEX(ModelAnswers!$G$2:$G$176,MATCH($A173,ModelAnswers!$A$2:$A$176,0)),"")</f>
        <v>0</v>
      </c>
      <c r="I173" s="28" t="str">
        <f aca="false">IF($H173="","",IF(EXACT(TRIM($G173),TRIM($H173)),1,0))</f>
        <v/>
      </c>
      <c r="J173" s="29"/>
      <c r="K173" s="14"/>
      <c r="L173" s="14"/>
      <c r="M173" s="30"/>
    </row>
    <row r="174" customFormat="false" ht="35.05" hidden="false" customHeight="false" outlineLevel="0" collapsed="false">
      <c r="A174" s="12" t="s">
        <v>405</v>
      </c>
      <c r="B174" s="24" t="s">
        <v>361</v>
      </c>
      <c r="C174" s="12" t="s">
        <v>64</v>
      </c>
      <c r="D174" s="12" t="s">
        <v>406</v>
      </c>
      <c r="E174" s="12" t="s">
        <v>654</v>
      </c>
      <c r="F174" s="25" t="n">
        <f aca="false">IFERROR(INDEX(ModelAnswers!$F$2:$F$176,MATCH($A174,ModelAnswers!$A$2:$A$176,0)),"")</f>
        <v>0</v>
      </c>
      <c r="G174" s="26" t="s">
        <v>650</v>
      </c>
      <c r="H174" s="27" t="n">
        <f aca="false">IFERROR(INDEX(ModelAnswers!$G$2:$G$176,MATCH($A174,ModelAnswers!$A$2:$A$176,0)),"")</f>
        <v>0</v>
      </c>
      <c r="I174" s="28" t="str">
        <f aca="false">IF($H174="","",IF(EXACT(TRIM($G174),TRIM($H174)),1,0))</f>
        <v/>
      </c>
      <c r="J174" s="29"/>
      <c r="K174" s="14"/>
      <c r="L174" s="14"/>
      <c r="M174" s="30"/>
    </row>
    <row r="175" customFormat="false" ht="15" hidden="false" customHeight="false" outlineLevel="0" collapsed="false">
      <c r="A175" s="12" t="s">
        <v>407</v>
      </c>
      <c r="B175" s="24" t="s">
        <v>361</v>
      </c>
      <c r="C175" s="12" t="s">
        <v>50</v>
      </c>
      <c r="D175" s="12" t="s">
        <v>408</v>
      </c>
      <c r="E175" s="12" t="s">
        <v>655</v>
      </c>
      <c r="F175" s="25" t="n">
        <f aca="false">IFERROR(INDEX(ModelAnswers!$F$2:$F$176,MATCH($A175,ModelAnswers!$A$2:$A$176,0)),"")</f>
        <v>0</v>
      </c>
      <c r="G175" s="26" t="s">
        <v>628</v>
      </c>
      <c r="H175" s="27" t="n">
        <f aca="false">IFERROR(INDEX(ModelAnswers!$G$2:$G$176,MATCH($A175,ModelAnswers!$A$2:$A$176,0)),"")</f>
        <v>0</v>
      </c>
      <c r="I175" s="28" t="str">
        <f aca="false">IF($H175="","",IF(EXACT(TRIM($G175),TRIM($H175)),1,0))</f>
        <v/>
      </c>
      <c r="J175" s="29"/>
      <c r="K175" s="14"/>
      <c r="L175" s="14"/>
      <c r="M175" s="30"/>
    </row>
    <row r="176" customFormat="false" ht="35.05" hidden="false" customHeight="false" outlineLevel="0" collapsed="false">
      <c r="A176" s="12" t="s">
        <v>409</v>
      </c>
      <c r="B176" s="24" t="s">
        <v>361</v>
      </c>
      <c r="C176" s="12" t="s">
        <v>61</v>
      </c>
      <c r="D176" s="12" t="s">
        <v>410</v>
      </c>
      <c r="E176" s="12" t="s">
        <v>656</v>
      </c>
      <c r="F176" s="25" t="n">
        <f aca="false">IFERROR(INDEX(ModelAnswers!$F$2:$F$176,MATCH($A176,ModelAnswers!$A$2:$A$176,0)),"")</f>
        <v>0</v>
      </c>
      <c r="G176" s="26" t="s">
        <v>633</v>
      </c>
      <c r="H176" s="27" t="n">
        <f aca="false">IFERROR(INDEX(ModelAnswers!$G$2:$G$176,MATCH($A176,ModelAnswers!$A$2:$A$176,0)),"")</f>
        <v>0</v>
      </c>
      <c r="I176" s="28" t="str">
        <f aca="false">IF($H176="","",IF(EXACT(TRIM($G176),TRIM($H176)),1,0))</f>
        <v/>
      </c>
      <c r="J176" s="29"/>
      <c r="K176" s="14"/>
      <c r="L176" s="14"/>
      <c r="M176" s="30"/>
    </row>
  </sheetData>
  <conditionalFormatting sqref="J2:J176">
    <cfRule type="cellIs" priority="2" operator="equal" aboveAverage="0" equalAverage="0" bottom="0" percent="0" rank="0" text="" dxfId="0">
      <formula>4</formula>
    </cfRule>
    <cfRule type="cellIs" priority="3" operator="equal" aboveAverage="0" equalAverage="0" bottom="0" percent="0" rank="0" text="" dxfId="1">
      <formula>3</formula>
    </cfRule>
    <cfRule type="cellIs" priority="4" operator="equal" aboveAverage="0" equalAverage="0" bottom="0" percent="0" rank="0" text="" dxfId="2">
      <formula>2</formula>
    </cfRule>
    <cfRule type="cellIs" priority="5" operator="equal" aboveAverage="0" equalAverage="0" bottom="0" percent="0" rank="0" text="" dxfId="3">
      <formula>1</formula>
    </cfRule>
  </conditionalFormatting>
  <conditionalFormatting sqref="I2:I176">
    <cfRule type="cellIs" priority="6" operator="equal" aboveAverage="0" equalAverage="0" bottom="0" percent="0" rank="0" text="" dxfId="0">
      <formula>1</formula>
    </cfRule>
    <cfRule type="cellIs" priority="7" operator="equal" aboveAverage="0" equalAverage="0" bottom="0" percent="0" rank="0" text="" dxfId="3">
      <formula>0</formula>
    </cfRule>
  </conditionalFormatting>
  <dataValidations count="1">
    <dataValidation allowBlank="true" error="Score must be 1, 2, 3 or 4" errorStyle="stop" errorTitle="Invalid score" operator="between" showDropDown="false" showErrorMessage="false" showInputMessage="false" sqref="J2:J176"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8"/>
    <col collapsed="false" customWidth="true" hidden="false" outlineLevel="0" max="4" min="4" style="0" width="20"/>
  </cols>
  <sheetData>
    <row r="1" customFormat="false" ht="17.35" hidden="false" customHeight="false" outlineLevel="0" collapsed="false">
      <c r="A1" s="31" t="s">
        <v>657</v>
      </c>
    </row>
    <row r="3" customFormat="false" ht="15" hidden="false" customHeight="false" outlineLevel="0" collapsed="false">
      <c r="A3" s="32" t="s">
        <v>658</v>
      </c>
      <c r="B3" s="32" t="s">
        <v>659</v>
      </c>
      <c r="C3" s="32" t="s">
        <v>660</v>
      </c>
      <c r="D3" s="32"/>
    </row>
    <row r="4" customFormat="false" ht="23.85" hidden="false" customHeight="false" outlineLevel="0" collapsed="false">
      <c r="A4" s="4" t="s">
        <v>661</v>
      </c>
      <c r="B4" s="33" t="n">
        <f aca="false">COUNT(Evaluation!$J$2:$J$176)</f>
        <v>0</v>
      </c>
      <c r="C4" s="33" t="s">
        <v>662</v>
      </c>
    </row>
    <row r="5" customFormat="false" ht="23.85" hidden="false" customHeight="false" outlineLevel="0" collapsed="false">
      <c r="A5" s="4" t="s">
        <v>663</v>
      </c>
      <c r="B5" s="34" t="str">
        <f aca="false">IFERROR(AVERAGE(Evaluation!$J$2:$J$176),"—")</f>
        <v>—</v>
      </c>
      <c r="C5" s="33" t="s">
        <v>664</v>
      </c>
    </row>
    <row r="6" customFormat="false" ht="23.85" hidden="false" customHeight="false" outlineLevel="0" collapsed="false">
      <c r="A6" s="4" t="s">
        <v>665</v>
      </c>
      <c r="B6" s="35" t="str">
        <f aca="false">IFERROR(AVERAGE(Evaluation!$J$2:$J$176)/4,"—")</f>
        <v>—</v>
      </c>
      <c r="C6" s="33" t="s">
        <v>666</v>
      </c>
    </row>
    <row r="7" customFormat="false" ht="23.85" hidden="false" customHeight="false" outlineLevel="0" collapsed="false">
      <c r="A7" s="4" t="s">
        <v>667</v>
      </c>
      <c r="B7" s="35" t="str">
        <f aca="false">IFERROR(AVERAGE(Evaluation!$I$2:$I$176),"—")</f>
        <v>—</v>
      </c>
      <c r="C7" s="33" t="s">
        <v>668</v>
      </c>
    </row>
    <row r="8" customFormat="false" ht="15" hidden="false" customHeight="false" outlineLevel="0" collapsed="false">
      <c r="A8" s="4" t="s">
        <v>669</v>
      </c>
      <c r="B8" s="33" t="n">
        <f aca="false">COUNTIF(Evaluation!$J$2:$J$176,4)</f>
        <v>0</v>
      </c>
      <c r="C8" s="33" t="s">
        <v>670</v>
      </c>
    </row>
    <row r="9" customFormat="false" ht="23.85" hidden="false" customHeight="false" outlineLevel="0" collapsed="false">
      <c r="A9" s="4" t="s">
        <v>671</v>
      </c>
      <c r="B9" s="33" t="n">
        <f aca="false">COUNTIF(Evaluation!$J$2:$J$176,1)</f>
        <v>0</v>
      </c>
      <c r="C9" s="33" t="s">
        <v>672</v>
      </c>
    </row>
    <row r="10" customFormat="false" ht="23.85" hidden="false" customHeight="false" outlineLevel="0" collapsed="false">
      <c r="A10" s="4" t="s">
        <v>673</v>
      </c>
      <c r="B10" s="35" t="str">
        <f aca="false">IFERROR(COUNTIF(Evaluation!$J$2:$J$176,1)/COUNT(Evaluation!$J$2:$J$176),"—")</f>
        <v>—</v>
      </c>
      <c r="C10" s="33" t="s">
        <v>674</v>
      </c>
    </row>
    <row r="11" customFormat="false" ht="15" hidden="false" customHeight="false" outlineLevel="0" collapsed="false">
      <c r="A11" s="4" t="s">
        <v>675</v>
      </c>
      <c r="B11" s="34" t="str">
        <f aca="false">IFERROR(AVERAGE(ModelAnswers!$H$2:$H$176),"—")</f>
        <v>—</v>
      </c>
      <c r="C11" s="33" t="s">
        <v>676</v>
      </c>
    </row>
    <row r="12" customFormat="false" ht="15" hidden="false" customHeight="false" outlineLevel="0" collapsed="false">
      <c r="A12" s="4" t="s">
        <v>677</v>
      </c>
      <c r="B12" s="33" t="n">
        <f aca="false">IFERROR(SUM(ModelAnswers!$I$2:$I$176),"—")</f>
        <v>0</v>
      </c>
      <c r="C12" s="33" t="s">
        <v>676</v>
      </c>
    </row>
    <row r="13" customFormat="false" ht="15" hidden="false" customHeight="false" outlineLevel="0" collapsed="false">
      <c r="A13" s="4" t="s">
        <v>678</v>
      </c>
      <c r="B13" s="36" t="n">
        <f aca="false">IFERROR(SUM(ModelAnswers!$J$2:$J$176),"—")</f>
        <v>0</v>
      </c>
      <c r="C13" s="33" t="s">
        <v>676</v>
      </c>
    </row>
    <row r="15" customFormat="false" ht="15" hidden="false" customHeight="false" outlineLevel="0" collapsed="false">
      <c r="A15" s="32" t="s">
        <v>679</v>
      </c>
      <c r="B15" s="32" t="s">
        <v>680</v>
      </c>
      <c r="C15" s="32" t="s">
        <v>681</v>
      </c>
      <c r="D15" s="32"/>
    </row>
    <row r="16" customFormat="false" ht="15" hidden="false" customHeight="false" outlineLevel="0" collapsed="false">
      <c r="A16" s="4" t="s">
        <v>682</v>
      </c>
      <c r="B16" s="33" t="n">
        <f aca="false">COUNTIF(Evaluation!$J$2:$J$176,4)</f>
        <v>0</v>
      </c>
      <c r="C16" s="35" t="str">
        <f aca="false">IFERROR(B16/COUNT(Evaluation!$J$2:$J$176),"—")</f>
        <v>—</v>
      </c>
    </row>
    <row r="17" customFormat="false" ht="15" hidden="false" customHeight="false" outlineLevel="0" collapsed="false">
      <c r="A17" s="4" t="s">
        <v>683</v>
      </c>
      <c r="B17" s="33" t="n">
        <f aca="false">COUNTIF(Evaluation!$J$2:$J$176,3)</f>
        <v>0</v>
      </c>
      <c r="C17" s="35" t="str">
        <f aca="false">IFERROR(B17/COUNT(Evaluation!$J$2:$J$176),"—")</f>
        <v>—</v>
      </c>
    </row>
    <row r="18" customFormat="false" ht="15" hidden="false" customHeight="false" outlineLevel="0" collapsed="false">
      <c r="A18" s="4" t="s">
        <v>684</v>
      </c>
      <c r="B18" s="33" t="n">
        <f aca="false">COUNTIF(Evaluation!$J$2:$J$176,2)</f>
        <v>0</v>
      </c>
      <c r="C18" s="35" t="str">
        <f aca="false">IFERROR(B18/COUNT(Evaluation!$J$2:$J$176),"—")</f>
        <v>—</v>
      </c>
    </row>
    <row r="19" customFormat="false" ht="15" hidden="false" customHeight="false" outlineLevel="0" collapsed="false">
      <c r="A19" s="4" t="s">
        <v>685</v>
      </c>
      <c r="B19" s="33" t="n">
        <f aca="false">COUNTIF(Evaluation!$J$2:$J$176,1)</f>
        <v>0</v>
      </c>
      <c r="C19" s="35" t="str">
        <f aca="false">IFERROR(B19/COUNT(Evaluation!$J$2:$J$176),"—")</f>
        <v>—</v>
      </c>
    </row>
    <row r="21" customFormat="false" ht="15" hidden="false" customHeight="false" outlineLevel="0" collapsed="false">
      <c r="A21" s="32" t="s">
        <v>686</v>
      </c>
      <c r="B21" s="32" t="s">
        <v>687</v>
      </c>
      <c r="C21" s="32" t="s">
        <v>688</v>
      </c>
      <c r="D21" s="32" t="s">
        <v>689</v>
      </c>
    </row>
    <row r="22" customFormat="false" ht="15" hidden="false" customHeight="false" outlineLevel="0" collapsed="false">
      <c r="A22" s="4" t="s">
        <v>46</v>
      </c>
      <c r="B22" s="33" t="n">
        <f aca="false">COUNTIFS(Evaluation!$B$2:$B$176,"Resimac",Evaluation!$J$2:$J$176,"&gt;0")</f>
        <v>0</v>
      </c>
      <c r="C22" s="33" t="str">
        <f aca="false">IFERROR(AVERAGEIF(Evaluation!$B$2:$B$176,"Resimac",Evaluation!$J$2:$J$176),"—")</f>
        <v>—</v>
      </c>
      <c r="D22" s="33" t="str">
        <f aca="false">IFERROR(AVERAGEIF(Evaluation!$B$2:$B$176,"Resimac",Evaluation!$I$2:$I$176),"—")</f>
        <v>—</v>
      </c>
    </row>
    <row r="23" customFormat="false" ht="15" hidden="false" customHeight="false" outlineLevel="0" collapsed="false">
      <c r="A23" s="32" t="s">
        <v>105</v>
      </c>
      <c r="B23" s="32" t="n">
        <f aca="false">COUNTIFS(Evaluation!$B$2:$B$176,"BFS",Evaluation!$J$2:$J$176,"&gt;0")</f>
        <v>0</v>
      </c>
      <c r="C23" s="32" t="str">
        <f aca="false">IFERROR(AVERAGEIF(Evaluation!$B$2:$B$176,"BFS",Evaluation!$J$2:$J$176),"—")</f>
        <v>—</v>
      </c>
      <c r="D23" s="32" t="str">
        <f aca="false">IFERROR(AVERAGEIF(Evaluation!$B$2:$B$176,"BFS",Evaluation!$I$2:$I$176),"—")</f>
        <v>—</v>
      </c>
    </row>
    <row r="24" customFormat="false" ht="15" hidden="false" customHeight="false" outlineLevel="0" collapsed="false">
      <c r="A24" s="4" t="s">
        <v>156</v>
      </c>
      <c r="B24" s="33" t="n">
        <f aca="false">COUNTIFS(Evaluation!$B$2:$B$176,"Westpac",Evaluation!$J$2:$J$176,"&gt;0")</f>
        <v>0</v>
      </c>
      <c r="C24" s="33" t="str">
        <f aca="false">IFERROR(AVERAGEIF(Evaluation!$B$2:$B$176,"Westpac",Evaluation!$J$2:$J$176),"—")</f>
        <v>—</v>
      </c>
      <c r="D24" s="33" t="str">
        <f aca="false">IFERROR(AVERAGEIF(Evaluation!$B$2:$B$176,"Westpac",Evaluation!$I$2:$I$176),"—")</f>
        <v>—</v>
      </c>
    </row>
    <row r="25" customFormat="false" ht="15" hidden="false" customHeight="false" outlineLevel="0" collapsed="false">
      <c r="A25" s="32" t="s">
        <v>208</v>
      </c>
      <c r="B25" s="32" t="n">
        <f aca="false">COUNTIFS(Evaluation!$B$2:$B$176,"CFAL",Evaluation!$J$2:$J$176,"&gt;0")</f>
        <v>0</v>
      </c>
      <c r="C25" s="32" t="str">
        <f aca="false">IFERROR(AVERAGEIF(Evaluation!$B$2:$B$176,"CFAL",Evaluation!$J$2:$J$176),"—")</f>
        <v>—</v>
      </c>
      <c r="D25" s="32" t="str">
        <f aca="false">IFERROR(AVERAGEIF(Evaluation!$B$2:$B$176,"CFAL",Evaluation!$I$2:$I$176),"—")</f>
        <v>—</v>
      </c>
    </row>
    <row r="26" customFormat="false" ht="15" hidden="false" customHeight="false" outlineLevel="0" collapsed="false">
      <c r="A26" s="4" t="s">
        <v>259</v>
      </c>
      <c r="B26" s="33" t="n">
        <f aca="false">COUNTIFS(Evaluation!$B$2:$B$176,"Angle",Evaluation!$J$2:$J$176,"&gt;0")</f>
        <v>0</v>
      </c>
      <c r="C26" s="33" t="str">
        <f aca="false">IFERROR(AVERAGEIF(Evaluation!$B$2:$B$176,"Angle",Evaluation!$J$2:$J$176),"—")</f>
        <v>—</v>
      </c>
      <c r="D26" s="33" t="str">
        <f aca="false">IFERROR(AVERAGEIF(Evaluation!$B$2:$B$176,"Angle",Evaluation!$I$2:$I$176),"—")</f>
        <v>—</v>
      </c>
    </row>
    <row r="27" customFormat="false" ht="15" hidden="false" customHeight="false" outlineLevel="0" collapsed="false">
      <c r="A27" s="4" t="s">
        <v>310</v>
      </c>
      <c r="B27" s="33" t="n">
        <f aca="false">COUNTIFS(Evaluation!$B$2:$B$176,"Metro",Evaluation!$J$2:$J$176,"&gt;0")</f>
        <v>0</v>
      </c>
      <c r="C27" s="33" t="str">
        <f aca="false">IFERROR(AVERAGEIF(Evaluation!$B$2:$B$176,"Metro",Evaluation!$J$2:$J$176),"—")</f>
        <v>—</v>
      </c>
      <c r="D27" s="33" t="str">
        <f aca="false">IFERROR(AVERAGEIF(Evaluation!$B$2:$B$176,"Metro",Evaluation!$I$2:$I$176),"—")</f>
        <v>—</v>
      </c>
    </row>
    <row r="28" customFormat="false" ht="15" hidden="false" customHeight="false" outlineLevel="0" collapsed="false">
      <c r="A28" s="4" t="s">
        <v>361</v>
      </c>
      <c r="B28" s="33" t="n">
        <f aca="false">COUNTIFS(Evaluation!$B$2:$B$176,"Flexi",Evaluation!$J$2:$J$176,"&gt;0")</f>
        <v>0</v>
      </c>
      <c r="C28" s="33" t="str">
        <f aca="false">IFERROR(AVERAGEIF(Evaluation!$B$2:$B$176,"Flexi",Evaluation!$J$2:$J$176),"—")</f>
        <v>—</v>
      </c>
      <c r="D28" s="33" t="str">
        <f aca="false">IFERROR(AVERAGEIF(Evaluation!$B$2:$B$176,"Flexi",Evaluation!$I$2:$I$176),"—")</f>
        <v>—</v>
      </c>
    </row>
    <row r="30" customFormat="false" ht="15" hidden="false" customHeight="false" outlineLevel="0" collapsed="false">
      <c r="A30" s="32" t="s">
        <v>690</v>
      </c>
      <c r="B30" s="32" t="s">
        <v>687</v>
      </c>
      <c r="C30" s="32" t="s">
        <v>688</v>
      </c>
      <c r="D30" s="32" t="s">
        <v>689</v>
      </c>
    </row>
    <row r="31" customFormat="false" ht="15" hidden="false" customHeight="false" outlineLevel="0" collapsed="false">
      <c r="A31" s="32" t="s">
        <v>47</v>
      </c>
      <c r="B31" s="32" t="n">
        <f aca="false">COUNTIFS(Evaluation!$C$2:$C$176,"ELIGIBILITY",Evaluation!$J$2:$J$176,"&gt;0")</f>
        <v>0</v>
      </c>
      <c r="C31" s="32" t="str">
        <f aca="false">IFERROR(AVERAGEIF(Evaluation!$C$2:$C$176,"ELIGIBILITY",Evaluation!$J$2:$J$176),"—")</f>
        <v>—</v>
      </c>
      <c r="D31" s="32" t="str">
        <f aca="false">IFERROR(AVERAGEIF(Evaluation!$C$2:$C$176,"ELIGIBILITY",Evaluation!$I$2:$I$176),"—")</f>
        <v>—</v>
      </c>
    </row>
    <row r="32" customFormat="false" ht="15" hidden="false" customHeight="false" outlineLevel="0" collapsed="false">
      <c r="A32" s="32" t="s">
        <v>50</v>
      </c>
      <c r="B32" s="32" t="n">
        <f aca="false">COUNTIFS(Evaluation!$C$2:$C$176,"PRICING",Evaluation!$J$2:$J$176,"&gt;0")</f>
        <v>0</v>
      </c>
      <c r="C32" s="32" t="str">
        <f aca="false">IFERROR(AVERAGEIF(Evaluation!$C$2:$C$176,"PRICING",Evaluation!$J$2:$J$176),"—")</f>
        <v>—</v>
      </c>
      <c r="D32" s="32" t="str">
        <f aca="false">IFERROR(AVERAGEIF(Evaluation!$C$2:$C$176,"PRICING",Evaluation!$I$2:$I$176),"—")</f>
        <v>—</v>
      </c>
    </row>
    <row r="33" customFormat="false" ht="15" hidden="false" customHeight="false" outlineLevel="0" collapsed="false">
      <c r="A33" s="32" t="s">
        <v>55</v>
      </c>
      <c r="B33" s="32" t="n">
        <f aca="false">COUNTIFS(Evaluation!$C$2:$C$176,"LOAN_LIMITS",Evaluation!$J$2:$J$176,"&gt;0")</f>
        <v>0</v>
      </c>
      <c r="C33" s="32" t="str">
        <f aca="false">IFERROR(AVERAGEIF(Evaluation!$C$2:$C$176,"LOAN_LIMITS",Evaluation!$J$2:$J$176),"—")</f>
        <v>—</v>
      </c>
      <c r="D33" s="32" t="str">
        <f aca="false">IFERROR(AVERAGEIF(Evaluation!$C$2:$C$176,"LOAN_LIMITS",Evaluation!$I$2:$I$176),"—")</f>
        <v>—</v>
      </c>
    </row>
    <row r="34" customFormat="false" ht="15" hidden="false" customHeight="false" outlineLevel="0" collapsed="false">
      <c r="A34" s="32" t="s">
        <v>58</v>
      </c>
      <c r="B34" s="32" t="n">
        <f aca="false">COUNTIFS(Evaluation!$C$2:$C$176,"DOCUMENTATION",Evaluation!$J$2:$J$176,"&gt;0")</f>
        <v>0</v>
      </c>
      <c r="C34" s="32" t="str">
        <f aca="false">IFERROR(AVERAGEIF(Evaluation!$C$2:$C$176,"DOCUMENTATION",Evaluation!$J$2:$J$176),"—")</f>
        <v>—</v>
      </c>
      <c r="D34" s="32" t="str">
        <f aca="false">IFERROR(AVERAGEIF(Evaluation!$C$2:$C$176,"DOCUMENTATION",Evaluation!$I$2:$I$176),"—")</f>
        <v>—</v>
      </c>
    </row>
    <row r="35" customFormat="false" ht="15" hidden="false" customHeight="false" outlineLevel="0" collapsed="false">
      <c r="A35" s="32" t="s">
        <v>61</v>
      </c>
      <c r="B35" s="32" t="n">
        <f aca="false">COUNTIFS(Evaluation!$C$2:$C$176,"ASSET_ELIGIBILITY",Evaluation!$J$2:$J$176,"&gt;0")</f>
        <v>0</v>
      </c>
      <c r="C35" s="32" t="str">
        <f aca="false">IFERROR(AVERAGEIF(Evaluation!$C$2:$C$176,"ASSET_ELIGIBILITY",Evaluation!$J$2:$J$176),"—")</f>
        <v>—</v>
      </c>
      <c r="D35" s="32" t="str">
        <f aca="false">IFERROR(AVERAGEIF(Evaluation!$C$2:$C$176,"ASSET_ELIGIBILITY",Evaluation!$I$2:$I$176),"—")</f>
        <v>—</v>
      </c>
    </row>
    <row r="36" customFormat="false" ht="15" hidden="false" customHeight="false" outlineLevel="0" collapsed="false">
      <c r="A36" s="32" t="s">
        <v>64</v>
      </c>
      <c r="B36" s="32" t="n">
        <f aca="false">COUNTIFS(Evaluation!$C$2:$C$176,"EXCLUSIONS",Evaluation!$J$2:$J$176,"&gt;0")</f>
        <v>0</v>
      </c>
      <c r="C36" s="32" t="str">
        <f aca="false">IFERROR(AVERAGEIF(Evaluation!$C$2:$C$176,"EXCLUSIONS",Evaluation!$J$2:$J$176),"—")</f>
        <v>—</v>
      </c>
      <c r="D36" s="32" t="str">
        <f aca="false">IFERROR(AVERAGEIF(Evaluation!$C$2:$C$176,"EXCLUSIONS",Evaluation!$I$2:$I$176),"—")</f>
        <v>—</v>
      </c>
    </row>
    <row r="37" customFormat="false" ht="15" hidden="false" customHeight="false" outlineLevel="0" collapsed="false">
      <c r="A37" s="32" t="s">
        <v>72</v>
      </c>
      <c r="B37" s="32" t="n">
        <f aca="false">COUNTIFS(Evaluation!$C$2:$C$176,"SETTLEMENT",Evaluation!$J$2:$J$176,"&gt;0")</f>
        <v>0</v>
      </c>
      <c r="C37" s="32" t="str">
        <f aca="false">IFERROR(AVERAGEIF(Evaluation!$C$2:$C$176,"SETTLEMENT",Evaluation!$J$2:$J$176),"—")</f>
        <v>—</v>
      </c>
      <c r="D37" s="32" t="str">
        <f aca="false">IFERROR(AVERAGEIF(Evaluation!$C$2:$C$176,"SETTLEMENT",Evaluation!$I$2:$I$176),"—")</f>
        <v>—</v>
      </c>
    </row>
    <row r="38" customFormat="false" ht="15" hidden="false" customHeight="false" outlineLevel="0" collapsed="false">
      <c r="A38" s="32" t="s">
        <v>163</v>
      </c>
      <c r="B38" s="32" t="n">
        <f aca="false">COUNTIFS(Evaluation!$C$2:$C$176,"SPECIAL_PROGRAMS",Evaluation!$J$2:$J$176,"&gt;0")</f>
        <v>0</v>
      </c>
      <c r="C38" s="32" t="str">
        <f aca="false">IFERROR(AVERAGEIF(Evaluation!$C$2:$C$176,"SPECIAL_PROGRAMS",Evaluation!$J$2:$J$176),"—")</f>
        <v>—</v>
      </c>
      <c r="D38" s="32" t="str">
        <f aca="false">IFERROR(AVERAGEIF(Evaluation!$C$2:$C$176,"SPECIAL_PROGRAMS",Evaluation!$I$2:$I$176),"—")</f>
        <v>—</v>
      </c>
    </row>
    <row r="39" customFormat="false" ht="15" hidden="false" customHeight="false" outlineLevel="0" collapsed="false">
      <c r="A39" s="32" t="s">
        <v>67</v>
      </c>
      <c r="B39" s="32" t="n">
        <f aca="false">COUNTIFS(Evaluation!$C$2:$C$176,"FEES",Evaluation!$J$2:$J$176,"&gt;0")</f>
        <v>0</v>
      </c>
      <c r="C39" s="32" t="str">
        <f aca="false">IFERROR(AVERAGEIF(Evaluation!$C$2:$C$176,"FEES",Evaluation!$J$2:$J$176),"—")</f>
        <v>—</v>
      </c>
      <c r="D39" s="32" t="str">
        <f aca="false">IFERROR(AVERAGEIF(Evaluation!$C$2:$C$176,"FEES",Evaluation!$I$2:$I$176),"—")</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6"/>
    <col collapsed="false" customWidth="true" hidden="false" outlineLevel="0" max="4" min="4" style="0" width="14"/>
    <col collapsed="false" customWidth="true" hidden="false" outlineLevel="0" max="5" min="5" style="0" width="12"/>
    <col collapsed="false" customWidth="true" hidden="false" outlineLevel="0" max="7" min="6" style="0" width="16"/>
    <col collapsed="false" customWidth="true" hidden="false" outlineLevel="0" max="8" min="8" style="0" width="18"/>
    <col collapsed="false" customWidth="true" hidden="false" outlineLevel="0" max="9" min="9" style="0" width="13"/>
    <col collapsed="false" customWidth="true" hidden="false" outlineLevel="0" max="10" min="10" style="0" width="14"/>
    <col collapsed="false" customWidth="true" hidden="false" outlineLevel="0" max="11" min="11" style="0" width="44"/>
  </cols>
  <sheetData>
    <row r="1" customFormat="false" ht="33.75" hidden="false" customHeight="true" outlineLevel="0" collapsed="false">
      <c r="A1" s="11" t="s">
        <v>691</v>
      </c>
      <c r="B1" s="11" t="s">
        <v>692</v>
      </c>
      <c r="C1" s="11" t="s">
        <v>693</v>
      </c>
      <c r="D1" s="11" t="s">
        <v>694</v>
      </c>
      <c r="E1" s="11" t="s">
        <v>665</v>
      </c>
      <c r="F1" s="11" t="s">
        <v>689</v>
      </c>
      <c r="G1" s="11" t="s">
        <v>695</v>
      </c>
      <c r="H1" s="11" t="s">
        <v>696</v>
      </c>
      <c r="I1" s="11" t="s">
        <v>697</v>
      </c>
      <c r="J1" s="11" t="s">
        <v>44</v>
      </c>
      <c r="K1" s="11" t="s">
        <v>698</v>
      </c>
    </row>
    <row r="2" customFormat="false" ht="15" hidden="false" customHeight="false" outlineLevel="0" collapsed="false">
      <c r="A2" s="12" t="s">
        <v>699</v>
      </c>
      <c r="B2" s="12" t="s">
        <v>700</v>
      </c>
      <c r="C2" s="12" t="s">
        <v>701</v>
      </c>
      <c r="D2" s="37"/>
      <c r="E2" s="38"/>
      <c r="F2" s="38"/>
      <c r="G2" s="38"/>
      <c r="H2" s="37"/>
      <c r="I2" s="39"/>
      <c r="J2" s="40"/>
      <c r="K2" s="14"/>
    </row>
    <row r="3" customFormat="false" ht="15" hidden="false" customHeight="false" outlineLevel="0" collapsed="false">
      <c r="A3" s="12" t="s">
        <v>702</v>
      </c>
      <c r="B3" s="12" t="s">
        <v>700</v>
      </c>
      <c r="C3" s="12" t="s">
        <v>703</v>
      </c>
      <c r="D3" s="37"/>
      <c r="E3" s="38"/>
      <c r="F3" s="38"/>
      <c r="G3" s="38"/>
      <c r="H3" s="37"/>
      <c r="I3" s="39"/>
      <c r="J3" s="40"/>
      <c r="K3" s="14"/>
    </row>
    <row r="4" customFormat="false" ht="15" hidden="false" customHeight="false" outlineLevel="0" collapsed="false">
      <c r="A4" s="12" t="s">
        <v>704</v>
      </c>
      <c r="B4" s="12" t="s">
        <v>700</v>
      </c>
      <c r="C4" s="12" t="s">
        <v>705</v>
      </c>
      <c r="D4" s="37"/>
      <c r="E4" s="38"/>
      <c r="F4" s="38"/>
      <c r="G4" s="38"/>
      <c r="H4" s="37"/>
      <c r="I4" s="39"/>
      <c r="J4" s="40"/>
      <c r="K4" s="14"/>
    </row>
    <row r="5" customFormat="false" ht="15" hidden="false" customHeight="false" outlineLevel="0" collapsed="false">
      <c r="A5" s="12" t="s">
        <v>706</v>
      </c>
      <c r="B5" s="12" t="s">
        <v>707</v>
      </c>
      <c r="C5" s="12" t="s">
        <v>708</v>
      </c>
      <c r="D5" s="37"/>
      <c r="E5" s="38"/>
      <c r="F5" s="38"/>
      <c r="G5" s="38"/>
      <c r="H5" s="37"/>
      <c r="I5" s="39"/>
      <c r="J5" s="40"/>
      <c r="K5" s="14"/>
    </row>
    <row r="6" customFormat="false" ht="15" hidden="false" customHeight="false" outlineLevel="0" collapsed="false">
      <c r="A6" s="12" t="s">
        <v>709</v>
      </c>
      <c r="B6" s="12" t="s">
        <v>707</v>
      </c>
      <c r="C6" s="12" t="s">
        <v>710</v>
      </c>
      <c r="D6" s="37"/>
      <c r="E6" s="38"/>
      <c r="F6" s="38"/>
      <c r="G6" s="38"/>
      <c r="H6" s="37"/>
      <c r="I6" s="39"/>
      <c r="J6" s="40"/>
      <c r="K6" s="14"/>
    </row>
    <row r="7" customFormat="false" ht="15" hidden="false" customHeight="false" outlineLevel="0" collapsed="false">
      <c r="A7" s="12" t="s">
        <v>711</v>
      </c>
      <c r="B7" s="12" t="s">
        <v>707</v>
      </c>
      <c r="C7" s="12" t="s">
        <v>712</v>
      </c>
      <c r="D7" s="37"/>
      <c r="E7" s="38"/>
      <c r="F7" s="38"/>
      <c r="G7" s="38"/>
      <c r="H7" s="37"/>
      <c r="I7" s="39"/>
      <c r="J7" s="40"/>
      <c r="K7" s="14"/>
    </row>
    <row r="8" customFormat="false" ht="15" hidden="false" customHeight="false" outlineLevel="0" collapsed="false">
      <c r="A8" s="12" t="s">
        <v>713</v>
      </c>
      <c r="B8" s="12" t="s">
        <v>714</v>
      </c>
      <c r="C8" s="12" t="s">
        <v>715</v>
      </c>
      <c r="D8" s="37"/>
      <c r="E8" s="38"/>
      <c r="F8" s="38"/>
      <c r="G8" s="38"/>
      <c r="H8" s="37"/>
      <c r="I8" s="39"/>
      <c r="J8" s="40"/>
      <c r="K8" s="14"/>
    </row>
    <row r="9" customFormat="false" ht="15" hidden="false" customHeight="false" outlineLevel="0" collapsed="false">
      <c r="A9" s="12" t="s">
        <v>716</v>
      </c>
      <c r="B9" s="12" t="s">
        <v>714</v>
      </c>
      <c r="C9" s="12" t="s">
        <v>717</v>
      </c>
      <c r="D9" s="37"/>
      <c r="E9" s="38"/>
      <c r="F9" s="38"/>
      <c r="G9" s="38"/>
      <c r="H9" s="37"/>
      <c r="I9" s="39"/>
      <c r="J9" s="40"/>
      <c r="K9" s="14"/>
    </row>
    <row r="10" customFormat="false" ht="15" hidden="false" customHeight="false" outlineLevel="0" collapsed="false">
      <c r="A10" s="12" t="s">
        <v>718</v>
      </c>
      <c r="B10" s="12" t="s">
        <v>719</v>
      </c>
      <c r="C10" s="12" t="s">
        <v>720</v>
      </c>
      <c r="D10" s="37"/>
      <c r="E10" s="38"/>
      <c r="F10" s="38"/>
      <c r="G10" s="38"/>
      <c r="H10" s="37"/>
      <c r="I10" s="39"/>
      <c r="J10" s="40"/>
      <c r="K10" s="14"/>
    </row>
    <row r="11" customFormat="false" ht="15" hidden="false" customHeight="false" outlineLevel="0" collapsed="false">
      <c r="A11" s="12" t="s">
        <v>721</v>
      </c>
      <c r="B11" s="12" t="s">
        <v>719</v>
      </c>
      <c r="C11" s="12" t="s">
        <v>722</v>
      </c>
      <c r="D11" s="37"/>
      <c r="E11" s="38"/>
      <c r="F11" s="38"/>
      <c r="G11" s="38"/>
      <c r="H11" s="37"/>
      <c r="I11" s="39"/>
      <c r="J11" s="40"/>
      <c r="K11" s="14"/>
    </row>
    <row r="13" customFormat="false" ht="15" hidden="false" customHeight="false" outlineLevel="0" collapsed="false">
      <c r="A13" s="41" t="s">
        <v>723</v>
      </c>
    </row>
  </sheetData>
  <conditionalFormatting sqref="D2:D11">
    <cfRule type="expression" priority="2" aboveAverage="0" equalAverage="0" bottom="0" percent="0" rank="0" text="" dxfId="0">
      <formula>AND($D2&lt;&gt;"",$D2=MAX($D$2:$D$11))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8"/>
    <col collapsed="false" customWidth="true" hidden="false" outlineLevel="0" max="4" min="4" style="0" width="26"/>
    <col collapsed="false" customWidth="true" hidden="false" outlineLevel="0" max="5" min="5" style="0" width="44"/>
    <col collapsed="false" customWidth="true" hidden="false" outlineLevel="0" max="6" min="6" style="0" width="40"/>
    <col collapsed="false" customWidth="true" hidden="false" outlineLevel="0" max="7" min="7" style="0" width="32"/>
    <col collapsed="false" customWidth="true" hidden="false" outlineLevel="0" max="8" min="8" style="0" width="12"/>
  </cols>
  <sheetData>
    <row r="1" customFormat="false" ht="33.75" hidden="false" customHeight="true" outlineLevel="0" collapsed="false">
      <c r="A1" s="11" t="s">
        <v>35</v>
      </c>
      <c r="B1" s="11" t="s">
        <v>36</v>
      </c>
      <c r="C1" s="11" t="s">
        <v>724</v>
      </c>
      <c r="D1" s="11" t="s">
        <v>725</v>
      </c>
      <c r="E1" s="11" t="s">
        <v>726</v>
      </c>
      <c r="F1" s="11" t="s">
        <v>727</v>
      </c>
      <c r="G1" s="11" t="s">
        <v>728</v>
      </c>
      <c r="H1" s="11" t="s">
        <v>729</v>
      </c>
    </row>
    <row r="2" customFormat="false" ht="23.85" hidden="false" customHeight="false" outlineLevel="0" collapsed="false">
      <c r="A2" s="42" t="s">
        <v>730</v>
      </c>
      <c r="B2" s="14" t="s">
        <v>208</v>
      </c>
      <c r="C2" s="14" t="n">
        <v>1</v>
      </c>
      <c r="D2" s="14" t="s">
        <v>731</v>
      </c>
      <c r="E2" s="14" t="s">
        <v>732</v>
      </c>
      <c r="F2" s="14" t="s">
        <v>733</v>
      </c>
      <c r="G2" s="14" t="s">
        <v>734</v>
      </c>
      <c r="H2" s="14" t="s">
        <v>735</v>
      </c>
    </row>
    <row r="3" customFormat="false" ht="15" hidden="false" customHeight="false" outlineLevel="0" collapsed="false">
      <c r="A3" s="14"/>
      <c r="B3" s="14"/>
      <c r="C3" s="14"/>
      <c r="D3" s="14"/>
      <c r="E3" s="14"/>
      <c r="F3" s="14"/>
      <c r="G3" s="14"/>
      <c r="H3" s="14"/>
    </row>
    <row r="4" customFormat="false" ht="15" hidden="false" customHeight="false" outlineLevel="0" collapsed="false">
      <c r="A4" s="14"/>
      <c r="B4" s="14"/>
      <c r="C4" s="14"/>
      <c r="D4" s="14"/>
      <c r="E4" s="14"/>
      <c r="F4" s="14"/>
      <c r="G4" s="14"/>
      <c r="H4" s="14"/>
    </row>
    <row r="5" customFormat="false" ht="15" hidden="false" customHeight="false" outlineLevel="0" collapsed="false">
      <c r="A5" s="14"/>
      <c r="B5" s="14"/>
      <c r="C5" s="14"/>
      <c r="D5" s="14"/>
      <c r="E5" s="14"/>
      <c r="F5" s="14"/>
      <c r="G5" s="14"/>
      <c r="H5" s="14"/>
    </row>
    <row r="6" customFormat="false" ht="15" hidden="false" customHeight="false" outlineLevel="0" collapsed="false">
      <c r="A6" s="14"/>
      <c r="B6" s="14"/>
      <c r="C6" s="14"/>
      <c r="D6" s="14"/>
      <c r="E6" s="14"/>
      <c r="F6" s="14"/>
      <c r="G6" s="14"/>
      <c r="H6" s="14"/>
    </row>
    <row r="7" customFormat="false" ht="15" hidden="false" customHeight="false" outlineLevel="0" collapsed="false">
      <c r="A7" s="14"/>
      <c r="B7" s="14"/>
      <c r="C7" s="14"/>
      <c r="D7" s="14"/>
      <c r="E7" s="14"/>
      <c r="F7" s="14"/>
      <c r="G7" s="14"/>
      <c r="H7" s="14"/>
    </row>
    <row r="8" customFormat="false" ht="15" hidden="false" customHeight="false" outlineLevel="0" collapsed="false">
      <c r="A8" s="14"/>
      <c r="B8" s="14"/>
      <c r="C8" s="14"/>
      <c r="D8" s="14"/>
      <c r="E8" s="14"/>
      <c r="F8" s="14"/>
      <c r="G8" s="14"/>
      <c r="H8" s="14"/>
    </row>
    <row r="9" customFormat="false" ht="15" hidden="false" customHeight="false" outlineLevel="0" collapsed="false">
      <c r="A9" s="14"/>
      <c r="B9" s="14"/>
      <c r="C9" s="14"/>
      <c r="D9" s="14"/>
      <c r="E9" s="14"/>
      <c r="F9" s="14"/>
      <c r="G9" s="14"/>
      <c r="H9" s="14"/>
    </row>
    <row r="10" customFormat="false" ht="15" hidden="false" customHeight="false" outlineLevel="0" collapsed="false">
      <c r="A10" s="14"/>
      <c r="B10" s="14"/>
      <c r="C10" s="14"/>
      <c r="D10" s="14"/>
      <c r="E10" s="14"/>
      <c r="F10" s="14"/>
      <c r="G10" s="14"/>
      <c r="H10" s="14"/>
    </row>
    <row r="11" customFormat="false" ht="15" hidden="false" customHeight="false" outlineLevel="0" collapsed="false">
      <c r="A11" s="14"/>
      <c r="B11" s="14"/>
      <c r="C11" s="14"/>
      <c r="D11" s="14"/>
      <c r="E11" s="14"/>
      <c r="F11" s="14"/>
      <c r="G11" s="14"/>
      <c r="H11" s="14"/>
    </row>
    <row r="12" customFormat="false" ht="15" hidden="false" customHeight="false" outlineLevel="0" collapsed="false">
      <c r="A12" s="14"/>
      <c r="B12" s="14"/>
      <c r="C12" s="14"/>
      <c r="D12" s="14"/>
      <c r="E12" s="14"/>
      <c r="F12" s="14"/>
      <c r="G12" s="14"/>
      <c r="H12" s="14"/>
    </row>
    <row r="13" customFormat="false" ht="15" hidden="false" customHeight="false" outlineLevel="0" collapsed="false">
      <c r="A13" s="14"/>
      <c r="B13" s="14"/>
      <c r="C13" s="14"/>
      <c r="D13" s="14"/>
      <c r="E13" s="14"/>
      <c r="F13" s="14"/>
      <c r="G13" s="14"/>
      <c r="H13" s="14"/>
    </row>
    <row r="14" customFormat="false" ht="15" hidden="false" customHeight="false" outlineLevel="0" collapsed="false">
      <c r="A14" s="14"/>
      <c r="B14" s="14"/>
      <c r="C14" s="14"/>
      <c r="D14" s="14"/>
      <c r="E14" s="14"/>
      <c r="F14" s="14"/>
      <c r="G14" s="14"/>
      <c r="H14" s="14"/>
    </row>
    <row r="15" customFormat="false" ht="15" hidden="false" customHeight="false" outlineLevel="0" collapsed="false">
      <c r="A15" s="14"/>
      <c r="B15" s="14"/>
      <c r="C15" s="14"/>
      <c r="D15" s="14"/>
      <c r="E15" s="14"/>
      <c r="F15" s="14"/>
      <c r="G15" s="14"/>
      <c r="H15" s="14"/>
    </row>
    <row r="16" customFormat="false" ht="15" hidden="false" customHeight="false" outlineLevel="0" collapsed="false">
      <c r="A16" s="14"/>
      <c r="B16" s="14"/>
      <c r="C16" s="14"/>
      <c r="D16" s="14"/>
      <c r="E16" s="14"/>
      <c r="F16" s="14"/>
      <c r="G16" s="14"/>
      <c r="H16" s="14"/>
    </row>
    <row r="17" customFormat="false" ht="15" hidden="false" customHeight="false" outlineLevel="0" collapsed="false">
      <c r="A17" s="14"/>
      <c r="B17" s="14"/>
      <c r="C17" s="14"/>
      <c r="D17" s="14"/>
      <c r="E17" s="14"/>
      <c r="F17" s="14"/>
      <c r="G17" s="14"/>
      <c r="H17" s="14"/>
    </row>
    <row r="18" customFormat="false" ht="15" hidden="false" customHeight="false" outlineLevel="0" collapsed="false">
      <c r="A18" s="14"/>
      <c r="B18" s="14"/>
      <c r="C18" s="14"/>
      <c r="D18" s="14"/>
      <c r="E18" s="14"/>
      <c r="F18" s="14"/>
      <c r="G18" s="14"/>
      <c r="H18" s="14"/>
    </row>
    <row r="19" customFormat="false" ht="15" hidden="false" customHeight="false" outlineLevel="0" collapsed="false">
      <c r="A19" s="14"/>
      <c r="B19" s="14"/>
      <c r="C19" s="14"/>
      <c r="D19" s="14"/>
      <c r="E19" s="14"/>
      <c r="F19" s="14"/>
      <c r="G19" s="14"/>
      <c r="H19" s="14"/>
    </row>
    <row r="20" customFormat="false" ht="15" hidden="false" customHeight="false" outlineLevel="0" collapsed="false">
      <c r="A20" s="14"/>
      <c r="B20" s="14"/>
      <c r="C20" s="14"/>
      <c r="D20" s="14"/>
      <c r="E20" s="14"/>
      <c r="F20" s="14"/>
      <c r="G20" s="14"/>
      <c r="H20" s="14"/>
    </row>
  </sheetData>
  <dataValidations count="2">
    <dataValidation allowBlank="true" errorStyle="stop" operator="between" showDropDown="false" showErrorMessage="false" showInputMessage="false" sqref="D2:D20" type="list">
      <formula1>"Cross-lender contamination,Wrong chunk retrieved,Right chunk wrong answer,Hallucinated figure,Outdated policy,Incomplete answer,No citation,Other"</formula1>
      <formula2>0</formula2>
    </dataValidation>
    <dataValidation allowBlank="true" errorStyle="stop" operator="between" showDropDown="false" showErrorMessage="false" showInputMessage="false" sqref="H2:H20" type="list">
      <formula1>"Open,In progress,Fixed,Wont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2026-07-09T01:39:33Z</dcterms:created>
  <dc:creator>openpyxl</dc:creator>
  <dc:description/>
  <dc:language>en-US</dc:language>
  <cp:lastModifiedBy/>
  <dcterms:modified xsi:type="dcterms:W3CDTF">2026-07-09T01:39:33Z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